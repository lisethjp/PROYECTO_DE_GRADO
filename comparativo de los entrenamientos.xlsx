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lin\OneDrive\Imágenes\SALP_Bucaramanga\"/>
    </mc:Choice>
  </mc:AlternateContent>
  <xr:revisionPtr revIDLastSave="0" documentId="13_ncr:1_{F10B964E-3679-4F6B-9FD5-DA9A9CAAF99C}" xr6:coauthVersionLast="47" xr6:coauthVersionMax="47" xr10:uidLastSave="{00000000-0000-0000-0000-000000000000}"/>
  <bookViews>
    <workbookView xWindow="-108" yWindow="-108" windowWidth="23256" windowHeight="12456" xr2:uid="{4DE790C3-8BC9-48E2-BF40-A317471CDA8B}"/>
  </bookViews>
  <sheets>
    <sheet name="3 MESES " sheetId="1" r:id="rId1"/>
    <sheet name="6 MESES" sheetId="2" r:id="rId2"/>
    <sheet name="10 MESES" sheetId="3" r:id="rId3"/>
    <sheet name="MAS DE 12 MESES" sheetId="4" r:id="rId4"/>
  </sheets>
  <definedNames>
    <definedName name="_xlchart.v1.0" hidden="1">'3 MESES '!$S$3:$S$5</definedName>
    <definedName name="_xlchart.v1.1" hidden="1">'3 MESES '!$T$2</definedName>
    <definedName name="_xlchart.v1.2" hidden="1">'3 MESES '!$T$3:$T$5</definedName>
    <definedName name="_xlchart.v1.3" hidden="1">'3 MESES '!$U$2</definedName>
    <definedName name="_xlchart.v1.4" hidden="1">'3 MESES '!$U$3:$U$5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7" i="4" l="1"/>
  <c r="V17" i="4"/>
  <c r="W16" i="4"/>
  <c r="V16" i="4"/>
  <c r="W15" i="4"/>
  <c r="V15" i="4"/>
  <c r="W14" i="4"/>
  <c r="V14" i="4"/>
  <c r="W13" i="4"/>
  <c r="V13" i="4"/>
  <c r="W12" i="4"/>
  <c r="V12" i="4"/>
  <c r="W11" i="4"/>
  <c r="V11" i="4"/>
  <c r="W10" i="4"/>
  <c r="V10" i="4"/>
  <c r="W9" i="4"/>
  <c r="V9" i="4"/>
  <c r="W8" i="4"/>
  <c r="V8" i="4"/>
  <c r="W7" i="4"/>
  <c r="V7" i="4"/>
  <c r="W6" i="4"/>
  <c r="V6" i="4"/>
  <c r="W5" i="4"/>
  <c r="V5" i="4"/>
  <c r="W4" i="4"/>
  <c r="V4" i="4"/>
  <c r="W3" i="4"/>
  <c r="V3" i="4"/>
  <c r="Q17" i="4"/>
  <c r="P17" i="4"/>
  <c r="Q16" i="4"/>
  <c r="P16" i="4"/>
  <c r="Q15" i="4"/>
  <c r="P15" i="4"/>
  <c r="Q14" i="4"/>
  <c r="P14" i="4"/>
  <c r="Q13" i="4"/>
  <c r="P13" i="4"/>
  <c r="Q12" i="4"/>
  <c r="P12" i="4"/>
  <c r="Q11" i="4"/>
  <c r="P11" i="4"/>
  <c r="Q10" i="4"/>
  <c r="P10" i="4"/>
  <c r="Q9" i="4"/>
  <c r="P9" i="4"/>
  <c r="Q8" i="4"/>
  <c r="P8" i="4"/>
  <c r="Q7" i="4"/>
  <c r="P7" i="4"/>
  <c r="Q6" i="4"/>
  <c r="P6" i="4"/>
  <c r="Q5" i="4"/>
  <c r="P5" i="4"/>
  <c r="Q4" i="4"/>
  <c r="P4" i="4"/>
  <c r="Q3" i="4"/>
  <c r="P3" i="4"/>
  <c r="K17" i="4"/>
  <c r="K16" i="4"/>
  <c r="K15" i="4"/>
  <c r="K14" i="4"/>
  <c r="K13" i="4"/>
  <c r="K12" i="4"/>
  <c r="K11" i="4"/>
  <c r="K10" i="4"/>
  <c r="K9" i="4"/>
  <c r="K8" i="4"/>
  <c r="K7" i="4"/>
  <c r="K6" i="4"/>
  <c r="K5" i="4"/>
  <c r="K4" i="4"/>
  <c r="K3" i="4"/>
  <c r="E13" i="4"/>
  <c r="E14" i="4"/>
  <c r="E15" i="4"/>
  <c r="E16" i="4"/>
  <c r="E17" i="4"/>
  <c r="E12" i="4"/>
  <c r="E11" i="4"/>
  <c r="E10" i="4"/>
  <c r="E9" i="4"/>
  <c r="E8" i="4"/>
  <c r="E7" i="4"/>
  <c r="E6" i="4"/>
  <c r="E5" i="4"/>
  <c r="E4" i="4"/>
  <c r="E3" i="4"/>
  <c r="Q8" i="3"/>
  <c r="W12" i="3"/>
  <c r="V12" i="3"/>
  <c r="W11" i="3"/>
  <c r="V11" i="3"/>
  <c r="W10" i="3"/>
  <c r="V10" i="3"/>
  <c r="W9" i="3"/>
  <c r="V9" i="3"/>
  <c r="W8" i="3"/>
  <c r="V8" i="3"/>
  <c r="W7" i="3"/>
  <c r="V7" i="3"/>
  <c r="W6" i="3"/>
  <c r="V6" i="3"/>
  <c r="W5" i="3"/>
  <c r="V5" i="3"/>
  <c r="W4" i="3"/>
  <c r="V4" i="3"/>
  <c r="W3" i="3"/>
  <c r="V3" i="3"/>
  <c r="V3" i="2"/>
  <c r="Q12" i="3"/>
  <c r="Q11" i="3"/>
  <c r="Q10" i="3"/>
  <c r="Q9" i="3"/>
  <c r="Q7" i="3"/>
  <c r="Q6" i="3"/>
  <c r="Q5" i="3"/>
  <c r="Q4" i="3"/>
  <c r="Q3" i="3"/>
  <c r="K12" i="3"/>
  <c r="K11" i="3"/>
  <c r="K10" i="3"/>
  <c r="K9" i="3"/>
  <c r="K8" i="3"/>
  <c r="K7" i="3"/>
  <c r="K6" i="3"/>
  <c r="K5" i="3"/>
  <c r="K4" i="3"/>
  <c r="K3" i="3"/>
  <c r="E9" i="3"/>
  <c r="E10" i="3"/>
  <c r="E11" i="3"/>
  <c r="E12" i="3"/>
  <c r="E8" i="3"/>
  <c r="E7" i="3"/>
  <c r="E6" i="3"/>
  <c r="E5" i="3"/>
  <c r="E4" i="3"/>
  <c r="E3" i="3"/>
  <c r="W8" i="2"/>
  <c r="V8" i="2"/>
  <c r="W7" i="2"/>
  <c r="V7" i="2"/>
  <c r="W6" i="2"/>
  <c r="V6" i="2"/>
  <c r="W5" i="2"/>
  <c r="V5" i="2"/>
  <c r="W4" i="2"/>
  <c r="V4" i="2"/>
  <c r="W3" i="2"/>
  <c r="Q8" i="2"/>
  <c r="Q7" i="2"/>
  <c r="Q6" i="2"/>
  <c r="Q5" i="2"/>
  <c r="Q4" i="2"/>
  <c r="Q3" i="2"/>
  <c r="K8" i="2"/>
  <c r="K7" i="2"/>
  <c r="K6" i="2"/>
  <c r="K5" i="2"/>
  <c r="K4" i="2"/>
  <c r="K3" i="2"/>
  <c r="E6" i="2"/>
  <c r="E7" i="2"/>
  <c r="E8" i="2"/>
  <c r="E5" i="2"/>
  <c r="E4" i="2"/>
  <c r="E3" i="2"/>
  <c r="Q5" i="1"/>
  <c r="Q4" i="1"/>
  <c r="Q3" i="1"/>
  <c r="K5" i="1"/>
  <c r="K4" i="1"/>
  <c r="K3" i="1"/>
  <c r="E5" i="1"/>
  <c r="E4" i="1"/>
  <c r="E3" i="1"/>
  <c r="W3" i="1"/>
  <c r="W4" i="1"/>
  <c r="W5" i="1"/>
  <c r="V5" i="1"/>
  <c r="V4" i="1"/>
  <c r="V3" i="1"/>
  <c r="P12" i="3"/>
  <c r="P11" i="3"/>
  <c r="P10" i="3"/>
  <c r="P9" i="3"/>
  <c r="P8" i="3"/>
  <c r="P7" i="3"/>
  <c r="P6" i="3"/>
  <c r="P5" i="3"/>
  <c r="P4" i="3"/>
  <c r="P3" i="3"/>
  <c r="P4" i="2"/>
  <c r="P5" i="2"/>
  <c r="P6" i="2"/>
  <c r="P7" i="2"/>
  <c r="P8" i="2"/>
  <c r="P3" i="2"/>
  <c r="J3" i="4"/>
  <c r="J4" i="4"/>
  <c r="J5" i="4"/>
  <c r="J6" i="4"/>
  <c r="J7" i="4"/>
  <c r="D3" i="4"/>
  <c r="D4" i="4"/>
  <c r="D5" i="4"/>
  <c r="D6" i="4"/>
  <c r="D7" i="4"/>
  <c r="J17" i="4"/>
  <c r="D17" i="4"/>
  <c r="J16" i="4"/>
  <c r="D16" i="4"/>
  <c r="J15" i="4"/>
  <c r="D15" i="4"/>
  <c r="J14" i="4"/>
  <c r="D14" i="4"/>
  <c r="J13" i="4"/>
  <c r="D13" i="4"/>
  <c r="J12" i="4"/>
  <c r="D12" i="4"/>
  <c r="J11" i="4"/>
  <c r="D11" i="4"/>
  <c r="J10" i="4"/>
  <c r="D10" i="4"/>
  <c r="J9" i="4"/>
  <c r="D9" i="4"/>
  <c r="J8" i="4"/>
  <c r="D8" i="4"/>
  <c r="J3" i="3"/>
  <c r="J4" i="3"/>
  <c r="J5" i="3"/>
  <c r="J6" i="3"/>
  <c r="D3" i="3"/>
  <c r="D4" i="3"/>
  <c r="D5" i="3"/>
  <c r="D6" i="3"/>
  <c r="J12" i="3"/>
  <c r="J11" i="3"/>
  <c r="J10" i="3"/>
  <c r="J9" i="3"/>
  <c r="J8" i="3"/>
  <c r="J7" i="3"/>
  <c r="D12" i="3"/>
  <c r="D11" i="3"/>
  <c r="D10" i="3"/>
  <c r="D9" i="3"/>
  <c r="D8" i="3"/>
  <c r="D7" i="3"/>
  <c r="J4" i="2"/>
  <c r="J5" i="2"/>
  <c r="J6" i="2"/>
  <c r="J7" i="2"/>
  <c r="J8" i="2"/>
  <c r="J3" i="2"/>
  <c r="D4" i="2"/>
  <c r="D5" i="2"/>
  <c r="D6" i="2"/>
  <c r="D7" i="2"/>
  <c r="D8" i="2"/>
  <c r="D3" i="2"/>
  <c r="P4" i="1"/>
  <c r="P5" i="1"/>
  <c r="P3" i="1"/>
  <c r="J4" i="1"/>
  <c r="J5" i="1"/>
  <c r="J3" i="1"/>
  <c r="D4" i="1"/>
  <c r="D5" i="1"/>
  <c r="D3" i="1"/>
</calcChain>
</file>

<file path=xl/sharedStrings.xml><?xml version="1.0" encoding="utf-8"?>
<sst xmlns="http://schemas.openxmlformats.org/spreadsheetml/2006/main" count="233" uniqueCount="27">
  <si>
    <t xml:space="preserve">PRIMER ENTRENAMIENTO </t>
  </si>
  <si>
    <t>REAL</t>
  </si>
  <si>
    <t xml:space="preserve">PREDICTIVO </t>
  </si>
  <si>
    <t>DIFERENCIA</t>
  </si>
  <si>
    <t xml:space="preserve">SEGUNDO ENTRENAMIENTO </t>
  </si>
  <si>
    <t xml:space="preserve">TERCERO ENTRENAMIENTO </t>
  </si>
  <si>
    <t>ABRIL 2025</t>
  </si>
  <si>
    <t xml:space="preserve">MAYO 2025 </t>
  </si>
  <si>
    <t>JUNIO 2025</t>
  </si>
  <si>
    <t>ENERO 2025</t>
  </si>
  <si>
    <t>FEBRERO 2025</t>
  </si>
  <si>
    <t>MARZO 2025</t>
  </si>
  <si>
    <t>SEPTIEMBRE 2024</t>
  </si>
  <si>
    <t>OCTUBRE  2024</t>
  </si>
  <si>
    <t>NOVIEMBRE 2024</t>
  </si>
  <si>
    <t>DICIEMBRE 2024</t>
  </si>
  <si>
    <t>ABRIL 2024</t>
  </si>
  <si>
    <t>MAYO 2024</t>
  </si>
  <si>
    <t>JUNIO 2024</t>
  </si>
  <si>
    <t>JULIO 2024</t>
  </si>
  <si>
    <t>AGOSTO 2024</t>
  </si>
  <si>
    <t>CUARTO ENTRENAMIENTO</t>
  </si>
  <si>
    <t>PORCENTAJE</t>
  </si>
  <si>
    <t>MES</t>
  </si>
  <si>
    <t>s</t>
  </si>
  <si>
    <t xml:space="preserve">TERCER ENTRENAMIENTO </t>
  </si>
  <si>
    <t xml:space="preserve">CUARTO ENTRENAMIENTO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</si>
</sst>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??_-;_-@_-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'3 MESES '!$T$2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chemeClr val="accent4">
                <a:shade val="76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'3 MESES '!$S$3:$S$5</c:f>
              <c:strCache>
                <c:ptCount val="3"/>
                <c:pt idx="0">
                  <c:v>ABRIL 2025</c:v>
                </c:pt>
                <c:pt idx="1">
                  <c:v>MAYO 2025 </c:v>
                </c:pt>
                <c:pt idx="2">
                  <c:v>JUNIO 2025</c:v>
                </c:pt>
              </c:strCache>
            </c:strRef>
          </c:cat>
          <c:val>
            <c:numRef>
              <c:f>'3 MESES '!$T$3:$T$5</c:f>
              <c:numCache>
                <c:formatCode>_-* #,##0_-;\-* #,##0_-;_-* "-"??_-;_-@_-</c:formatCode>
                <c:ptCount val="3"/>
                <c:pt idx="0">
                  <c:v>205028</c:v>
                </c:pt>
                <c:pt idx="1">
                  <c:v>242561</c:v>
                </c:pt>
                <c:pt idx="2">
                  <c:v>147659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C3-4267-8FEB-F5DBF3B46352}"/>
            </c:ext>
          </c:extLst>
        </c:ser>
        <c:ser>
          <c:idx val="1"/>
          <c:order val="1"/>
          <c:tx>
            <c:strRef>
              <c:f>'3 MESES '!$U$2</c:f>
              <c:strCache>
                <c:ptCount val="1"/>
                <c:pt idx="0">
                  <c:v>PREDICTIVO </c:v>
                </c:pt>
              </c:strCache>
            </c:strRef>
          </c:tx>
          <c:spPr>
            <a:solidFill>
              <a:schemeClr val="accent4">
                <a:tint val="77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'3 MESES '!$S$3:$S$5</c:f>
              <c:strCache>
                <c:ptCount val="3"/>
                <c:pt idx="0">
                  <c:v>ABRIL 2025</c:v>
                </c:pt>
                <c:pt idx="1">
                  <c:v>MAYO 2025 </c:v>
                </c:pt>
                <c:pt idx="2">
                  <c:v>JUNIO 2025</c:v>
                </c:pt>
              </c:strCache>
            </c:strRef>
          </c:cat>
          <c:val>
            <c:numRef>
              <c:f>'3 MESES '!$U$3:$U$5</c:f>
              <c:numCache>
                <c:formatCode>_-* #,##0_-;\-* #,##0_-;_-* "-"??_-;_-@_-</c:formatCode>
                <c:ptCount val="3"/>
                <c:pt idx="0">
                  <c:v>216453</c:v>
                </c:pt>
                <c:pt idx="1">
                  <c:v>251585</c:v>
                </c:pt>
                <c:pt idx="2">
                  <c:v>173704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C3-4267-8FEB-F5DBF3B463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75663104"/>
        <c:axId val="1075659264"/>
        <c:axId val="0"/>
      </c:bar3DChart>
      <c:catAx>
        <c:axId val="10756631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MESES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75659264"/>
        <c:crosses val="autoZero"/>
        <c:auto val="1"/>
        <c:lblAlgn val="ctr"/>
        <c:lblOffset val="100"/>
        <c:noMultiLvlLbl val="0"/>
      </c:catAx>
      <c:valAx>
        <c:axId val="1075659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CONSUMO KW/H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75663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'6 MESES'!$T$2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chemeClr val="accent4">
                <a:shade val="76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'6 MESES'!$S$3:$S$8</c:f>
              <c:strCache>
                <c:ptCount val="6"/>
                <c:pt idx="0">
                  <c:v>ENERO 2025</c:v>
                </c:pt>
                <c:pt idx="1">
                  <c:v>FEBRERO 2025</c:v>
                </c:pt>
                <c:pt idx="2">
                  <c:v>MARZO 2025</c:v>
                </c:pt>
                <c:pt idx="3">
                  <c:v>ABRIL 2025</c:v>
                </c:pt>
                <c:pt idx="4">
                  <c:v>MAYO 2025 </c:v>
                </c:pt>
                <c:pt idx="5">
                  <c:v>JUNIO 2025</c:v>
                </c:pt>
              </c:strCache>
            </c:strRef>
          </c:cat>
          <c:val>
            <c:numRef>
              <c:f>'6 MESES'!$T$3:$T$8</c:f>
              <c:numCache>
                <c:formatCode>_-* #,##0_-;\-* #,##0_-;_-* "-"??_-;_-@_-</c:formatCode>
                <c:ptCount val="6"/>
                <c:pt idx="0">
                  <c:v>299136</c:v>
                </c:pt>
                <c:pt idx="1">
                  <c:v>390939</c:v>
                </c:pt>
                <c:pt idx="2">
                  <c:v>367409</c:v>
                </c:pt>
                <c:pt idx="3">
                  <c:v>205028</c:v>
                </c:pt>
                <c:pt idx="4">
                  <c:v>242561</c:v>
                </c:pt>
                <c:pt idx="5">
                  <c:v>147659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C3-4D7F-B171-94467E31FB0C}"/>
            </c:ext>
          </c:extLst>
        </c:ser>
        <c:ser>
          <c:idx val="1"/>
          <c:order val="1"/>
          <c:tx>
            <c:strRef>
              <c:f>'6 MESES'!$U$2</c:f>
              <c:strCache>
                <c:ptCount val="1"/>
                <c:pt idx="0">
                  <c:v>PREDICTIVO </c:v>
                </c:pt>
              </c:strCache>
            </c:strRef>
          </c:tx>
          <c:spPr>
            <a:solidFill>
              <a:schemeClr val="accent4">
                <a:tint val="77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'6 MESES'!$S$3:$S$8</c:f>
              <c:strCache>
                <c:ptCount val="6"/>
                <c:pt idx="0">
                  <c:v>ENERO 2025</c:v>
                </c:pt>
                <c:pt idx="1">
                  <c:v>FEBRERO 2025</c:v>
                </c:pt>
                <c:pt idx="2">
                  <c:v>MARZO 2025</c:v>
                </c:pt>
                <c:pt idx="3">
                  <c:v>ABRIL 2025</c:v>
                </c:pt>
                <c:pt idx="4">
                  <c:v>MAYO 2025 </c:v>
                </c:pt>
                <c:pt idx="5">
                  <c:v>JUNIO 2025</c:v>
                </c:pt>
              </c:strCache>
            </c:strRef>
          </c:cat>
          <c:val>
            <c:numRef>
              <c:f>'6 MESES'!$U$3:$U$8</c:f>
              <c:numCache>
                <c:formatCode>_-* #,##0_-;\-* #,##0_-;_-* "-"??_-;_-@_-</c:formatCode>
                <c:ptCount val="6"/>
                <c:pt idx="0">
                  <c:v>270935</c:v>
                </c:pt>
                <c:pt idx="1">
                  <c:v>380000</c:v>
                </c:pt>
                <c:pt idx="2">
                  <c:v>365000</c:v>
                </c:pt>
                <c:pt idx="3">
                  <c:v>223478</c:v>
                </c:pt>
                <c:pt idx="4">
                  <c:v>240714</c:v>
                </c:pt>
                <c:pt idx="5">
                  <c:v>179675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C3-4D7F-B171-94467E31FB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75663104"/>
        <c:axId val="1075659264"/>
        <c:axId val="0"/>
      </c:bar3DChart>
      <c:catAx>
        <c:axId val="10756631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MESES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75659264"/>
        <c:crosses val="autoZero"/>
        <c:auto val="1"/>
        <c:lblAlgn val="ctr"/>
        <c:lblOffset val="100"/>
        <c:noMultiLvlLbl val="0"/>
      </c:catAx>
      <c:valAx>
        <c:axId val="1075659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CONSUMO</a:t>
                </a:r>
                <a:r>
                  <a:rPr lang="es-CO" baseline="0"/>
                  <a:t> </a:t>
                </a:r>
                <a:r>
                  <a:rPr lang="es-CO"/>
                  <a:t> KW/H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75663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'10 MESES'!$T$2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chemeClr val="accent4">
                <a:shade val="76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'10 MESES'!$S$3:$S$12</c:f>
              <c:strCache>
                <c:ptCount val="10"/>
                <c:pt idx="0">
                  <c:v>SEPTIEMBRE 2024</c:v>
                </c:pt>
                <c:pt idx="1">
                  <c:v>OCTUBRE  2024</c:v>
                </c:pt>
                <c:pt idx="2">
                  <c:v>NOVIEMBRE 2024</c:v>
                </c:pt>
                <c:pt idx="3">
                  <c:v>DICIEMBRE 2024</c:v>
                </c:pt>
                <c:pt idx="4">
                  <c:v>ENERO 2025</c:v>
                </c:pt>
                <c:pt idx="5">
                  <c:v>FEBRERO 2025</c:v>
                </c:pt>
                <c:pt idx="6">
                  <c:v>MARZO 2025</c:v>
                </c:pt>
                <c:pt idx="7">
                  <c:v>ABRIL 2025</c:v>
                </c:pt>
                <c:pt idx="8">
                  <c:v>MAYO 2025 </c:v>
                </c:pt>
                <c:pt idx="9">
                  <c:v>JUNIO 2025</c:v>
                </c:pt>
              </c:strCache>
            </c:strRef>
          </c:cat>
          <c:val>
            <c:numRef>
              <c:f>'10 MESES'!$T$3:$T$12</c:f>
              <c:numCache>
                <c:formatCode>_-* #,##0_-;\-* #,##0_-;_-* "-"??_-;_-@_-</c:formatCode>
                <c:ptCount val="10"/>
                <c:pt idx="0">
                  <c:v>210805</c:v>
                </c:pt>
                <c:pt idx="1">
                  <c:v>229764</c:v>
                </c:pt>
                <c:pt idx="2">
                  <c:v>227446</c:v>
                </c:pt>
                <c:pt idx="3">
                  <c:v>205961</c:v>
                </c:pt>
                <c:pt idx="4">
                  <c:v>299136</c:v>
                </c:pt>
                <c:pt idx="5">
                  <c:v>390939</c:v>
                </c:pt>
                <c:pt idx="6">
                  <c:v>367409</c:v>
                </c:pt>
                <c:pt idx="7">
                  <c:v>205028</c:v>
                </c:pt>
                <c:pt idx="8">
                  <c:v>242561</c:v>
                </c:pt>
                <c:pt idx="9">
                  <c:v>147659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E1-4D91-A776-A3F2818BC56E}"/>
            </c:ext>
          </c:extLst>
        </c:ser>
        <c:ser>
          <c:idx val="1"/>
          <c:order val="1"/>
          <c:tx>
            <c:strRef>
              <c:f>'10 MESES'!$U$2</c:f>
              <c:strCache>
                <c:ptCount val="1"/>
                <c:pt idx="0">
                  <c:v>PREDICTIVO </c:v>
                </c:pt>
              </c:strCache>
            </c:strRef>
          </c:tx>
          <c:spPr>
            <a:solidFill>
              <a:schemeClr val="accent4">
                <a:tint val="77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'10 MESES'!$S$3:$S$12</c:f>
              <c:strCache>
                <c:ptCount val="10"/>
                <c:pt idx="0">
                  <c:v>SEPTIEMBRE 2024</c:v>
                </c:pt>
                <c:pt idx="1">
                  <c:v>OCTUBRE  2024</c:v>
                </c:pt>
                <c:pt idx="2">
                  <c:v>NOVIEMBRE 2024</c:v>
                </c:pt>
                <c:pt idx="3">
                  <c:v>DICIEMBRE 2024</c:v>
                </c:pt>
                <c:pt idx="4">
                  <c:v>ENERO 2025</c:v>
                </c:pt>
                <c:pt idx="5">
                  <c:v>FEBRERO 2025</c:v>
                </c:pt>
                <c:pt idx="6">
                  <c:v>MARZO 2025</c:v>
                </c:pt>
                <c:pt idx="7">
                  <c:v>ABRIL 2025</c:v>
                </c:pt>
                <c:pt idx="8">
                  <c:v>MAYO 2025 </c:v>
                </c:pt>
                <c:pt idx="9">
                  <c:v>JUNIO 2025</c:v>
                </c:pt>
              </c:strCache>
            </c:strRef>
          </c:cat>
          <c:val>
            <c:numRef>
              <c:f>'10 MESES'!$U$3:$U$12</c:f>
              <c:numCache>
                <c:formatCode>_-* #,##0_-;\-* #,##0_-;_-* "-"??_-;_-@_-</c:formatCode>
                <c:ptCount val="10"/>
                <c:pt idx="0">
                  <c:v>236241</c:v>
                </c:pt>
                <c:pt idx="1">
                  <c:v>248934</c:v>
                </c:pt>
                <c:pt idx="2">
                  <c:v>247447</c:v>
                </c:pt>
                <c:pt idx="3">
                  <c:v>267062</c:v>
                </c:pt>
                <c:pt idx="4">
                  <c:v>298586</c:v>
                </c:pt>
                <c:pt idx="5">
                  <c:v>380000</c:v>
                </c:pt>
                <c:pt idx="6">
                  <c:v>365000</c:v>
                </c:pt>
                <c:pt idx="7">
                  <c:v>244015</c:v>
                </c:pt>
                <c:pt idx="8">
                  <c:v>262647</c:v>
                </c:pt>
                <c:pt idx="9">
                  <c:v>195924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E1-4D91-A776-A3F2818BC5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75663104"/>
        <c:axId val="1075659264"/>
        <c:axId val="0"/>
      </c:bar3DChart>
      <c:catAx>
        <c:axId val="10756631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MESES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75659264"/>
        <c:crosses val="autoZero"/>
        <c:auto val="1"/>
        <c:lblAlgn val="ctr"/>
        <c:lblOffset val="100"/>
        <c:noMultiLvlLbl val="0"/>
      </c:catAx>
      <c:valAx>
        <c:axId val="1075659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CONSUMO KW/H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75663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'MAS DE 12 MESES'!$T$2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chemeClr val="accent4">
                <a:shade val="76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'MAS DE 12 MESES'!$S$3:$S$17</c:f>
              <c:strCache>
                <c:ptCount val="15"/>
                <c:pt idx="0">
                  <c:v>ABRIL 2024</c:v>
                </c:pt>
                <c:pt idx="1">
                  <c:v>MAYO 2024</c:v>
                </c:pt>
                <c:pt idx="2">
                  <c:v>JUNIO 2024</c:v>
                </c:pt>
                <c:pt idx="3">
                  <c:v>JULIO 2024</c:v>
                </c:pt>
                <c:pt idx="4">
                  <c:v>AGOSTO 2024</c:v>
                </c:pt>
                <c:pt idx="5">
                  <c:v>SEPTIEMBRE 2024</c:v>
                </c:pt>
                <c:pt idx="6">
                  <c:v>OCTUBRE  2024</c:v>
                </c:pt>
                <c:pt idx="7">
                  <c:v>NOVIEMBRE 2024</c:v>
                </c:pt>
                <c:pt idx="8">
                  <c:v>DICIEMBRE 2024</c:v>
                </c:pt>
                <c:pt idx="9">
                  <c:v>ENERO 2025</c:v>
                </c:pt>
                <c:pt idx="10">
                  <c:v>FEBRERO 2025</c:v>
                </c:pt>
                <c:pt idx="11">
                  <c:v>MARZO 2025</c:v>
                </c:pt>
                <c:pt idx="12">
                  <c:v>ABRIL 2025</c:v>
                </c:pt>
                <c:pt idx="13">
                  <c:v>MAYO 2025 </c:v>
                </c:pt>
                <c:pt idx="14">
                  <c:v>JUNIO 2025</c:v>
                </c:pt>
              </c:strCache>
            </c:strRef>
          </c:cat>
          <c:val>
            <c:numRef>
              <c:f>'MAS DE 12 MESES'!$T$3:$T$17</c:f>
              <c:numCache>
                <c:formatCode>_-* #,##0_-;\-* #,##0_-;_-* "-"??_-;_-@_-</c:formatCode>
                <c:ptCount val="15"/>
                <c:pt idx="0">
                  <c:v>242769</c:v>
                </c:pt>
                <c:pt idx="1">
                  <c:v>237192</c:v>
                </c:pt>
                <c:pt idx="2">
                  <c:v>234459</c:v>
                </c:pt>
                <c:pt idx="3">
                  <c:v>240719</c:v>
                </c:pt>
                <c:pt idx="4">
                  <c:v>224809</c:v>
                </c:pt>
                <c:pt idx="5">
                  <c:v>210805</c:v>
                </c:pt>
                <c:pt idx="6">
                  <c:v>229764</c:v>
                </c:pt>
                <c:pt idx="7">
                  <c:v>227446</c:v>
                </c:pt>
                <c:pt idx="8">
                  <c:v>205961</c:v>
                </c:pt>
                <c:pt idx="9">
                  <c:v>299136</c:v>
                </c:pt>
                <c:pt idx="10">
                  <c:v>390939</c:v>
                </c:pt>
                <c:pt idx="11">
                  <c:v>367409</c:v>
                </c:pt>
                <c:pt idx="12">
                  <c:v>205028</c:v>
                </c:pt>
                <c:pt idx="13">
                  <c:v>242561</c:v>
                </c:pt>
                <c:pt idx="14">
                  <c:v>147659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34-4824-86FB-ECB839C1F667}"/>
            </c:ext>
          </c:extLst>
        </c:ser>
        <c:ser>
          <c:idx val="1"/>
          <c:order val="1"/>
          <c:tx>
            <c:strRef>
              <c:f>'MAS DE 12 MESES'!$U$2</c:f>
              <c:strCache>
                <c:ptCount val="1"/>
                <c:pt idx="0">
                  <c:v>PREDICTIVO </c:v>
                </c:pt>
              </c:strCache>
            </c:strRef>
          </c:tx>
          <c:spPr>
            <a:solidFill>
              <a:schemeClr val="accent4">
                <a:tint val="77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'MAS DE 12 MESES'!$S$3:$S$17</c:f>
              <c:strCache>
                <c:ptCount val="15"/>
                <c:pt idx="0">
                  <c:v>ABRIL 2024</c:v>
                </c:pt>
                <c:pt idx="1">
                  <c:v>MAYO 2024</c:v>
                </c:pt>
                <c:pt idx="2">
                  <c:v>JUNIO 2024</c:v>
                </c:pt>
                <c:pt idx="3">
                  <c:v>JULIO 2024</c:v>
                </c:pt>
                <c:pt idx="4">
                  <c:v>AGOSTO 2024</c:v>
                </c:pt>
                <c:pt idx="5">
                  <c:v>SEPTIEMBRE 2024</c:v>
                </c:pt>
                <c:pt idx="6">
                  <c:v>OCTUBRE  2024</c:v>
                </c:pt>
                <c:pt idx="7">
                  <c:v>NOVIEMBRE 2024</c:v>
                </c:pt>
                <c:pt idx="8">
                  <c:v>DICIEMBRE 2024</c:v>
                </c:pt>
                <c:pt idx="9">
                  <c:v>ENERO 2025</c:v>
                </c:pt>
                <c:pt idx="10">
                  <c:v>FEBRERO 2025</c:v>
                </c:pt>
                <c:pt idx="11">
                  <c:v>MARZO 2025</c:v>
                </c:pt>
                <c:pt idx="12">
                  <c:v>ABRIL 2025</c:v>
                </c:pt>
                <c:pt idx="13">
                  <c:v>MAYO 2025 </c:v>
                </c:pt>
                <c:pt idx="14">
                  <c:v>JUNIO 2025</c:v>
                </c:pt>
              </c:strCache>
            </c:strRef>
          </c:cat>
          <c:val>
            <c:numRef>
              <c:f>'MAS DE 12 MESES'!$U$3:$U$17</c:f>
              <c:numCache>
                <c:formatCode>_-* #,##0_-;\-* #,##0_-;_-* "-"??_-;_-@_-</c:formatCode>
                <c:ptCount val="15"/>
                <c:pt idx="0">
                  <c:v>1095496</c:v>
                </c:pt>
                <c:pt idx="1">
                  <c:v>1082956</c:v>
                </c:pt>
                <c:pt idx="2">
                  <c:v>727146</c:v>
                </c:pt>
                <c:pt idx="3">
                  <c:v>732752</c:v>
                </c:pt>
                <c:pt idx="4">
                  <c:v>899500</c:v>
                </c:pt>
                <c:pt idx="5">
                  <c:v>885817</c:v>
                </c:pt>
                <c:pt idx="6">
                  <c:v>814566</c:v>
                </c:pt>
                <c:pt idx="7">
                  <c:v>827486</c:v>
                </c:pt>
                <c:pt idx="8">
                  <c:v>860570</c:v>
                </c:pt>
                <c:pt idx="9">
                  <c:v>848359</c:v>
                </c:pt>
                <c:pt idx="10">
                  <c:v>837520</c:v>
                </c:pt>
                <c:pt idx="11">
                  <c:v>847763</c:v>
                </c:pt>
                <c:pt idx="12">
                  <c:v>848258</c:v>
                </c:pt>
                <c:pt idx="13">
                  <c:v>842327</c:v>
                </c:pt>
                <c:pt idx="14">
                  <c:v>846094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34-4824-86FB-ECB839C1F6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75663104"/>
        <c:axId val="1075659264"/>
        <c:axId val="0"/>
      </c:bar3DChart>
      <c:catAx>
        <c:axId val="10756631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MESES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75659264"/>
        <c:crosses val="autoZero"/>
        <c:auto val="1"/>
        <c:lblAlgn val="ctr"/>
        <c:lblOffset val="100"/>
        <c:noMultiLvlLbl val="0"/>
      </c:catAx>
      <c:valAx>
        <c:axId val="1075659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CONSUMO KW/H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75663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215473</xdr:colOff>
      <xdr:row>5</xdr:row>
      <xdr:rowOff>151132</xdr:rowOff>
    </xdr:from>
    <xdr:to>
      <xdr:col>20</xdr:col>
      <xdr:colOff>318549</xdr:colOff>
      <xdr:row>16</xdr:row>
      <xdr:rowOff>54418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1459C56-0EF2-B9A5-1FDF-574865F8DD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285031</xdr:colOff>
      <xdr:row>9</xdr:row>
      <xdr:rowOff>15000</xdr:rowOff>
    </xdr:from>
    <xdr:to>
      <xdr:col>18</xdr:col>
      <xdr:colOff>814059</xdr:colOff>
      <xdr:row>23</xdr:row>
      <xdr:rowOff>66859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53B6E9-699F-4AFD-A774-2B7E7463E2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707670</xdr:colOff>
      <xdr:row>13</xdr:row>
      <xdr:rowOff>91684</xdr:rowOff>
    </xdr:from>
    <xdr:to>
      <xdr:col>18</xdr:col>
      <xdr:colOff>578161</xdr:colOff>
      <xdr:row>30</xdr:row>
      <xdr:rowOff>69273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B2945A-899F-4B37-B427-3536856AD8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236220</xdr:colOff>
      <xdr:row>17</xdr:row>
      <xdr:rowOff>137160</xdr:rowOff>
    </xdr:from>
    <xdr:to>
      <xdr:col>22</xdr:col>
      <xdr:colOff>320040</xdr:colOff>
      <xdr:row>35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58514D-92BB-464E-B237-7E5A575E36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BEFB2-B434-4118-B935-808A6700EBF0}">
  <dimension ref="A1:W5"/>
  <sheetViews>
    <sheetView tabSelected="1" topLeftCell="E1" zoomScale="74" zoomScaleNormal="130" workbookViewId="0">
      <selection activeCell="T24" sqref="T24"/>
    </sheetView>
  </sheetViews>
  <sheetFormatPr defaultRowHeight="14.4" x14ac:dyDescent="0.3"/>
  <cols>
    <col min="1" max="1" width="10.5546875" bestFit="1" customWidth="1"/>
    <col min="3" max="3" width="11.21875" bestFit="1" customWidth="1"/>
    <col min="4" max="4" width="10.88671875" bestFit="1" customWidth="1"/>
    <col min="5" max="5" width="10.88671875" customWidth="1"/>
    <col min="7" max="7" width="10.5546875" bestFit="1" customWidth="1"/>
    <col min="9" max="9" width="11.21875" bestFit="1" customWidth="1"/>
    <col min="10" max="10" width="11.5546875" customWidth="1"/>
    <col min="11" max="11" width="11.6640625" customWidth="1"/>
    <col min="13" max="13" width="10.5546875" bestFit="1" customWidth="1"/>
    <col min="15" max="15" width="11.21875" bestFit="1" customWidth="1"/>
    <col min="16" max="16" width="10.88671875" bestFit="1" customWidth="1"/>
    <col min="17" max="17" width="10.88671875" customWidth="1"/>
    <col min="19" max="19" width="10.5546875" bestFit="1" customWidth="1"/>
    <col min="21" max="21" width="11.33203125" bestFit="1" customWidth="1"/>
    <col min="22" max="22" width="11" bestFit="1" customWidth="1"/>
    <col min="23" max="23" width="12.109375" bestFit="1" customWidth="1"/>
  </cols>
  <sheetData>
    <row r="1" spans="1:23" x14ac:dyDescent="0.3">
      <c r="A1" s="7" t="s">
        <v>0</v>
      </c>
      <c r="B1" s="8"/>
      <c r="C1" s="8"/>
      <c r="D1" s="8"/>
      <c r="E1" s="8"/>
      <c r="G1" s="10" t="s">
        <v>4</v>
      </c>
      <c r="H1" s="10"/>
      <c r="I1" s="10"/>
      <c r="J1" s="10"/>
      <c r="K1" s="10"/>
      <c r="M1" s="9" t="s">
        <v>5</v>
      </c>
      <c r="N1" s="9"/>
      <c r="O1" s="9"/>
      <c r="P1" s="9"/>
      <c r="Q1" s="9"/>
      <c r="S1" s="9" t="s">
        <v>21</v>
      </c>
      <c r="T1" s="9"/>
      <c r="U1" s="9"/>
      <c r="V1" s="9"/>
      <c r="W1" s="9"/>
    </row>
    <row r="2" spans="1:23" x14ac:dyDescent="0.3">
      <c r="A2" s="3" t="s">
        <v>23</v>
      </c>
      <c r="B2" s="3" t="s">
        <v>1</v>
      </c>
      <c r="C2" s="3" t="s">
        <v>2</v>
      </c>
      <c r="D2" s="3" t="s">
        <v>3</v>
      </c>
      <c r="E2" s="3" t="s">
        <v>22</v>
      </c>
      <c r="G2" s="3" t="s">
        <v>23</v>
      </c>
      <c r="H2" s="3" t="s">
        <v>1</v>
      </c>
      <c r="I2" s="3" t="s">
        <v>2</v>
      </c>
      <c r="J2" s="3" t="s">
        <v>3</v>
      </c>
      <c r="K2" s="3" t="s">
        <v>22</v>
      </c>
      <c r="M2" s="3" t="s">
        <v>23</v>
      </c>
      <c r="N2" s="3" t="s">
        <v>1</v>
      </c>
      <c r="O2" s="3" t="s">
        <v>2</v>
      </c>
      <c r="P2" s="3" t="s">
        <v>3</v>
      </c>
      <c r="Q2" s="3" t="s">
        <v>22</v>
      </c>
      <c r="S2" s="3" t="s">
        <v>23</v>
      </c>
      <c r="T2" s="3" t="s">
        <v>1</v>
      </c>
      <c r="U2" s="3" t="s">
        <v>2</v>
      </c>
      <c r="V2" s="3" t="s">
        <v>3</v>
      </c>
      <c r="W2" s="3" t="s">
        <v>22</v>
      </c>
    </row>
    <row r="3" spans="1:23" x14ac:dyDescent="0.3">
      <c r="A3" s="5" t="s">
        <v>6</v>
      </c>
      <c r="B3" s="4">
        <v>205028</v>
      </c>
      <c r="C3" s="4">
        <v>327634</v>
      </c>
      <c r="D3" s="4">
        <f>+C3-B3</f>
        <v>122606</v>
      </c>
      <c r="E3" s="6">
        <f>+((C3-B3)/B3)</f>
        <v>0.5979963712273445</v>
      </c>
      <c r="G3" s="5" t="s">
        <v>6</v>
      </c>
      <c r="H3" s="4">
        <v>205028</v>
      </c>
      <c r="I3" s="4">
        <v>327489</v>
      </c>
      <c r="J3" s="4">
        <f>+I3-H3</f>
        <v>122461</v>
      </c>
      <c r="K3" s="6">
        <f>+((I3-H3)/H3)</f>
        <v>0.59728915075014144</v>
      </c>
      <c r="M3" s="5" t="s">
        <v>6</v>
      </c>
      <c r="N3" s="4">
        <v>205028</v>
      </c>
      <c r="O3" s="4">
        <v>266157</v>
      </c>
      <c r="P3" s="4">
        <f>+O3-N3</f>
        <v>61129</v>
      </c>
      <c r="Q3" s="6">
        <f>+((O3-N3)/N3)</f>
        <v>0.29814952104102854</v>
      </c>
      <c r="S3" s="5" t="s">
        <v>6</v>
      </c>
      <c r="T3" s="4">
        <v>205028</v>
      </c>
      <c r="U3" s="4">
        <v>216453</v>
      </c>
      <c r="V3" s="4">
        <f>+U3-T3</f>
        <v>11425</v>
      </c>
      <c r="W3" s="6">
        <f>+((U3-T3)/T3)</f>
        <v>5.5724096221003959E-2</v>
      </c>
    </row>
    <row r="4" spans="1:23" x14ac:dyDescent="0.3">
      <c r="A4" s="5" t="s">
        <v>7</v>
      </c>
      <c r="B4" s="4">
        <v>242561</v>
      </c>
      <c r="C4" s="4">
        <v>328432</v>
      </c>
      <c r="D4" s="4">
        <f t="shared" ref="D4:D5" si="0">+C4-B4</f>
        <v>85871</v>
      </c>
      <c r="E4" s="6">
        <f t="shared" ref="E4:E5" si="1">+((C4-B4)/B4)</f>
        <v>0.35401816450294976</v>
      </c>
      <c r="G4" s="5" t="s">
        <v>7</v>
      </c>
      <c r="H4" s="4">
        <v>242561</v>
      </c>
      <c r="I4" s="4">
        <v>328243</v>
      </c>
      <c r="J4" s="4">
        <f t="shared" ref="J4" si="2">+I4-H4</f>
        <v>85682</v>
      </c>
      <c r="K4" s="6">
        <f t="shared" ref="K4:K5" si="3">+((I4-H4)/H4)</f>
        <v>0.35323897906093726</v>
      </c>
      <c r="M4" s="5" t="s">
        <v>7</v>
      </c>
      <c r="N4" s="4">
        <v>242561</v>
      </c>
      <c r="O4" s="4">
        <v>270526</v>
      </c>
      <c r="P4" s="4">
        <f t="shared" ref="P4:P5" si="4">+O4-N4</f>
        <v>27965</v>
      </c>
      <c r="Q4" s="6">
        <f t="shared" ref="Q4:Q5" si="5">+((O4-N4)/N4)</f>
        <v>0.11529058669777911</v>
      </c>
      <c r="S4" s="5" t="s">
        <v>7</v>
      </c>
      <c r="T4" s="4">
        <v>242561</v>
      </c>
      <c r="U4" s="4">
        <v>251585</v>
      </c>
      <c r="V4" s="4">
        <f t="shared" ref="V4:V5" si="6">+U4-T4</f>
        <v>9024</v>
      </c>
      <c r="W4" s="6">
        <f t="shared" ref="W4:W5" si="7">+((U4-T4)/T4)</f>
        <v>3.7203012850375784E-2</v>
      </c>
    </row>
    <row r="5" spans="1:23" x14ac:dyDescent="0.3">
      <c r="A5" s="5" t="s">
        <v>8</v>
      </c>
      <c r="B5" s="4">
        <v>147659</v>
      </c>
      <c r="C5" s="4">
        <v>328216</v>
      </c>
      <c r="D5" s="4">
        <f t="shared" si="0"/>
        <v>180557</v>
      </c>
      <c r="E5" s="6">
        <f t="shared" si="1"/>
        <v>1.2227971203922552</v>
      </c>
      <c r="G5" s="5" t="s">
        <v>8</v>
      </c>
      <c r="H5" s="4">
        <v>147659</v>
      </c>
      <c r="I5" s="4">
        <v>328222</v>
      </c>
      <c r="J5" s="4">
        <f>+I5-H5</f>
        <v>180563</v>
      </c>
      <c r="K5" s="6">
        <f t="shared" si="3"/>
        <v>1.2228377545561055</v>
      </c>
      <c r="M5" s="5" t="s">
        <v>8</v>
      </c>
      <c r="N5" s="4">
        <v>147659</v>
      </c>
      <c r="O5" s="4">
        <v>269807</v>
      </c>
      <c r="P5" s="4">
        <f t="shared" si="4"/>
        <v>122148</v>
      </c>
      <c r="Q5" s="6">
        <f t="shared" si="5"/>
        <v>0.82723030766834393</v>
      </c>
      <c r="S5" s="5" t="s">
        <v>8</v>
      </c>
      <c r="T5" s="4">
        <v>147659</v>
      </c>
      <c r="U5" s="4">
        <v>173704</v>
      </c>
      <c r="V5" s="4">
        <f t="shared" si="6"/>
        <v>26045</v>
      </c>
      <c r="W5" s="6">
        <f t="shared" si="7"/>
        <v>0.17638613291434996</v>
      </c>
    </row>
  </sheetData>
  <mergeCells count="4">
    <mergeCell ref="S1:W1"/>
    <mergeCell ref="M1:Q1"/>
    <mergeCell ref="G1:K1"/>
    <mergeCell ref="A1:E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D604B-C556-42C1-A5ED-CBC6CAA5DAD8}">
  <dimension ref="A1:AD9"/>
  <sheetViews>
    <sheetView topLeftCell="H1" zoomScale="59" zoomScaleNormal="130" workbookViewId="0">
      <selection activeCell="P44" sqref="P44"/>
    </sheetView>
  </sheetViews>
  <sheetFormatPr defaultRowHeight="14.4" x14ac:dyDescent="0.3"/>
  <cols>
    <col min="1" max="1" width="13.109375" bestFit="1" customWidth="1"/>
    <col min="2" max="4" width="12.88671875" bestFit="1" customWidth="1"/>
    <col min="5" max="5" width="12.88671875" customWidth="1"/>
    <col min="7" max="7" width="13.109375" bestFit="1" customWidth="1"/>
    <col min="9" max="9" width="11.5546875" bestFit="1" customWidth="1"/>
    <col min="10" max="11" width="12.109375" customWidth="1"/>
    <col min="13" max="13" width="13.109375" bestFit="1" customWidth="1"/>
    <col min="15" max="15" width="11.21875" bestFit="1" customWidth="1"/>
    <col min="16" max="16" width="10.88671875" bestFit="1" customWidth="1"/>
    <col min="17" max="17" width="13.109375" customWidth="1"/>
    <col min="19" max="19" width="13.109375" bestFit="1" customWidth="1"/>
    <col min="20" max="20" width="8.88671875" customWidth="1"/>
    <col min="21" max="21" width="11.33203125" customWidth="1"/>
    <col min="22" max="22" width="11" customWidth="1"/>
    <col min="23" max="23" width="11.77734375" bestFit="1" customWidth="1"/>
  </cols>
  <sheetData>
    <row r="1" spans="1:30" x14ac:dyDescent="0.3">
      <c r="A1" s="9" t="s">
        <v>0</v>
      </c>
      <c r="B1" s="9"/>
      <c r="C1" s="9"/>
      <c r="D1" s="9"/>
      <c r="E1" s="9"/>
      <c r="G1" s="9" t="s">
        <v>4</v>
      </c>
      <c r="H1" s="9"/>
      <c r="I1" s="9"/>
      <c r="J1" s="9"/>
      <c r="K1" s="9"/>
      <c r="M1" s="7" t="s">
        <v>5</v>
      </c>
      <c r="N1" s="8"/>
      <c r="O1" s="8"/>
      <c r="P1" s="8"/>
      <c r="Q1" s="8"/>
      <c r="S1" s="7" t="s">
        <v>21</v>
      </c>
      <c r="T1" s="8"/>
      <c r="U1" s="8"/>
      <c r="V1" s="8"/>
      <c r="W1" s="8"/>
    </row>
    <row r="2" spans="1:30" x14ac:dyDescent="0.3">
      <c r="A2" s="3" t="s">
        <v>23</v>
      </c>
      <c r="B2" s="3" t="s">
        <v>1</v>
      </c>
      <c r="C2" s="3" t="s">
        <v>2</v>
      </c>
      <c r="D2" s="3" t="s">
        <v>3</v>
      </c>
      <c r="E2" s="3" t="s">
        <v>22</v>
      </c>
      <c r="G2" s="3" t="s">
        <v>23</v>
      </c>
      <c r="H2" s="3" t="s">
        <v>1</v>
      </c>
      <c r="I2" s="3" t="s">
        <v>2</v>
      </c>
      <c r="J2" s="3" t="s">
        <v>3</v>
      </c>
      <c r="K2" s="3" t="s">
        <v>22</v>
      </c>
      <c r="M2" s="3" t="s">
        <v>23</v>
      </c>
      <c r="N2" s="3" t="s">
        <v>1</v>
      </c>
      <c r="O2" s="3" t="s">
        <v>2</v>
      </c>
      <c r="P2" s="3" t="s">
        <v>3</v>
      </c>
      <c r="Q2" s="3" t="s">
        <v>22</v>
      </c>
      <c r="S2" s="3" t="s">
        <v>23</v>
      </c>
      <c r="T2" s="3" t="s">
        <v>1</v>
      </c>
      <c r="U2" s="3" t="s">
        <v>2</v>
      </c>
      <c r="V2" s="3" t="s">
        <v>3</v>
      </c>
      <c r="W2" s="3" t="s">
        <v>22</v>
      </c>
    </row>
    <row r="3" spans="1:30" x14ac:dyDescent="0.3">
      <c r="A3" s="5" t="s">
        <v>9</v>
      </c>
      <c r="B3" s="4">
        <v>299136</v>
      </c>
      <c r="C3" s="4">
        <v>321129</v>
      </c>
      <c r="D3" s="4">
        <f>+C3-B3</f>
        <v>21993</v>
      </c>
      <c r="E3" s="6">
        <f>+((C3-B3)/B3)</f>
        <v>7.3521742618741975E-2</v>
      </c>
      <c r="G3" s="5" t="s">
        <v>9</v>
      </c>
      <c r="H3" s="4">
        <v>299136</v>
      </c>
      <c r="I3" s="4">
        <v>322900</v>
      </c>
      <c r="J3" s="4">
        <f>+I3-H3</f>
        <v>23764</v>
      </c>
      <c r="K3" s="6">
        <f>+((I3-H3)/H3)</f>
        <v>7.944212665810868E-2</v>
      </c>
      <c r="M3" s="5" t="s">
        <v>9</v>
      </c>
      <c r="N3" s="4">
        <v>299136</v>
      </c>
      <c r="O3" s="4">
        <v>222078</v>
      </c>
      <c r="P3" s="4">
        <f>+O3-N3</f>
        <v>-77058</v>
      </c>
      <c r="Q3" s="6">
        <f>+((O3-N3)/N3)</f>
        <v>-0.25760189345314505</v>
      </c>
      <c r="S3" s="5" t="s">
        <v>9</v>
      </c>
      <c r="T3" s="4">
        <v>299136</v>
      </c>
      <c r="U3" s="4">
        <v>270935</v>
      </c>
      <c r="V3" s="4">
        <f>U3-T3</f>
        <v>-28201</v>
      </c>
      <c r="W3" s="6">
        <f>+((U3-T3)/T3)</f>
        <v>-9.4274844886606757E-2</v>
      </c>
    </row>
    <row r="4" spans="1:30" x14ac:dyDescent="0.3">
      <c r="A4" s="5" t="s">
        <v>10</v>
      </c>
      <c r="B4" s="4">
        <v>390939</v>
      </c>
      <c r="C4" s="4">
        <v>319380</v>
      </c>
      <c r="D4" s="4">
        <f t="shared" ref="D4:D8" si="0">+C4-B4</f>
        <v>-71559</v>
      </c>
      <c r="E4" s="6">
        <f t="shared" ref="E4:E8" si="1">+((C4-B4)/B4)</f>
        <v>-0.18304390198982451</v>
      </c>
      <c r="G4" s="5" t="s">
        <v>10</v>
      </c>
      <c r="H4" s="4">
        <v>390939</v>
      </c>
      <c r="I4" s="4">
        <v>322870</v>
      </c>
      <c r="J4" s="4">
        <f t="shared" ref="J4:J8" si="2">+I4-H4</f>
        <v>-68069</v>
      </c>
      <c r="K4" s="6">
        <f t="shared" ref="K4:K8" si="3">+((I4-H4)/H4)</f>
        <v>-0.17411667804951667</v>
      </c>
      <c r="M4" s="5" t="s">
        <v>10</v>
      </c>
      <c r="N4" s="4">
        <v>390939</v>
      </c>
      <c r="O4" s="4">
        <v>225162</v>
      </c>
      <c r="P4" s="4">
        <f t="shared" ref="P4:P8" si="4">+O4-N4</f>
        <v>-165777</v>
      </c>
      <c r="Q4" s="6">
        <f t="shared" ref="Q4:Q8" si="5">+((O4-N4)/N4)</f>
        <v>-0.42404825305226646</v>
      </c>
      <c r="S4" s="5" t="s">
        <v>10</v>
      </c>
      <c r="T4" s="4">
        <v>390939</v>
      </c>
      <c r="U4" s="4">
        <v>380000</v>
      </c>
      <c r="V4" s="4">
        <f t="shared" ref="V4:V8" si="6">+U4-T4</f>
        <v>-10939</v>
      </c>
      <c r="W4" s="6">
        <f t="shared" ref="W4:W8" si="7">+((U4-T4)/T4)</f>
        <v>-2.7981347473646785E-2</v>
      </c>
    </row>
    <row r="5" spans="1:30" x14ac:dyDescent="0.3">
      <c r="A5" s="5" t="s">
        <v>11</v>
      </c>
      <c r="B5" s="4">
        <v>367409</v>
      </c>
      <c r="C5" s="4">
        <v>319471</v>
      </c>
      <c r="D5" s="4">
        <f t="shared" si="0"/>
        <v>-47938</v>
      </c>
      <c r="E5" s="6">
        <f t="shared" si="1"/>
        <v>-0.13047584571962037</v>
      </c>
      <c r="G5" s="5" t="s">
        <v>11</v>
      </c>
      <c r="H5" s="4">
        <v>367409</v>
      </c>
      <c r="I5" s="4">
        <v>322869</v>
      </c>
      <c r="J5" s="4">
        <f t="shared" si="2"/>
        <v>-44540</v>
      </c>
      <c r="K5" s="6">
        <f t="shared" si="3"/>
        <v>-0.12122729709941782</v>
      </c>
      <c r="M5" s="5" t="s">
        <v>11</v>
      </c>
      <c r="N5" s="4">
        <v>367409</v>
      </c>
      <c r="O5" s="4">
        <v>226702</v>
      </c>
      <c r="P5" s="4">
        <f t="shared" si="4"/>
        <v>-140707</v>
      </c>
      <c r="Q5" s="6">
        <f t="shared" si="5"/>
        <v>-0.38297102139577421</v>
      </c>
      <c r="S5" s="5" t="s">
        <v>11</v>
      </c>
      <c r="T5" s="4">
        <v>367409</v>
      </c>
      <c r="U5" s="4">
        <v>365000</v>
      </c>
      <c r="V5" s="4">
        <f t="shared" si="6"/>
        <v>-2409</v>
      </c>
      <c r="W5" s="6">
        <f t="shared" si="7"/>
        <v>-6.5567256109676135E-3</v>
      </c>
    </row>
    <row r="6" spans="1:30" x14ac:dyDescent="0.3">
      <c r="A6" s="5" t="s">
        <v>6</v>
      </c>
      <c r="B6" s="4">
        <v>205028</v>
      </c>
      <c r="C6" s="4">
        <v>319463</v>
      </c>
      <c r="D6" s="4">
        <f t="shared" si="0"/>
        <v>114435</v>
      </c>
      <c r="E6" s="6">
        <f t="shared" si="1"/>
        <v>0.5581432779912987</v>
      </c>
      <c r="G6" s="5" t="s">
        <v>6</v>
      </c>
      <c r="H6" s="4">
        <v>205028</v>
      </c>
      <c r="I6" s="4">
        <v>322869</v>
      </c>
      <c r="J6" s="4">
        <f t="shared" si="2"/>
        <v>117841</v>
      </c>
      <c r="K6" s="6">
        <f t="shared" si="3"/>
        <v>0.57475564313166982</v>
      </c>
      <c r="M6" s="5" t="s">
        <v>6</v>
      </c>
      <c r="N6" s="4">
        <v>205028</v>
      </c>
      <c r="O6" s="4">
        <v>228039</v>
      </c>
      <c r="P6" s="4">
        <f t="shared" si="4"/>
        <v>23011</v>
      </c>
      <c r="Q6" s="6">
        <f t="shared" si="5"/>
        <v>0.11223345104083345</v>
      </c>
      <c r="S6" s="5" t="s">
        <v>6</v>
      </c>
      <c r="T6" s="4">
        <v>205028</v>
      </c>
      <c r="U6" s="4">
        <v>223478</v>
      </c>
      <c r="V6" s="4">
        <f t="shared" si="6"/>
        <v>18450</v>
      </c>
      <c r="W6" s="6">
        <f t="shared" si="7"/>
        <v>8.9987708995844476E-2</v>
      </c>
    </row>
    <row r="7" spans="1:30" x14ac:dyDescent="0.3">
      <c r="A7" s="5" t="s">
        <v>7</v>
      </c>
      <c r="B7" s="4">
        <v>242561</v>
      </c>
      <c r="C7" s="4">
        <v>319460</v>
      </c>
      <c r="D7" s="4">
        <f t="shared" si="0"/>
        <v>76899</v>
      </c>
      <c r="E7" s="6">
        <f t="shared" si="1"/>
        <v>0.31702953071598483</v>
      </c>
      <c r="G7" s="5" t="s">
        <v>7</v>
      </c>
      <c r="H7" s="4">
        <v>242561</v>
      </c>
      <c r="I7" s="4">
        <v>322869</v>
      </c>
      <c r="J7" s="4">
        <f t="shared" si="2"/>
        <v>80308</v>
      </c>
      <c r="K7" s="6">
        <f t="shared" si="3"/>
        <v>0.33108372739228481</v>
      </c>
      <c r="M7" s="5" t="s">
        <v>7</v>
      </c>
      <c r="N7" s="4">
        <v>242561</v>
      </c>
      <c r="O7" s="4">
        <v>229251</v>
      </c>
      <c r="P7" s="4">
        <f t="shared" si="4"/>
        <v>-13310</v>
      </c>
      <c r="Q7" s="6">
        <f t="shared" si="5"/>
        <v>-5.4872794884585734E-2</v>
      </c>
      <c r="S7" s="5" t="s">
        <v>7</v>
      </c>
      <c r="T7" s="4">
        <v>242561</v>
      </c>
      <c r="U7" s="4">
        <v>240714</v>
      </c>
      <c r="V7" s="4">
        <f t="shared" si="6"/>
        <v>-1847</v>
      </c>
      <c r="W7" s="6">
        <f t="shared" si="7"/>
        <v>-7.6145794253816568E-3</v>
      </c>
    </row>
    <row r="8" spans="1:30" x14ac:dyDescent="0.3">
      <c r="A8" s="5" t="s">
        <v>8</v>
      </c>
      <c r="B8" s="4">
        <v>147659</v>
      </c>
      <c r="C8" s="4">
        <v>319462</v>
      </c>
      <c r="D8" s="4">
        <f t="shared" si="0"/>
        <v>171803</v>
      </c>
      <c r="E8" s="6">
        <f t="shared" si="1"/>
        <v>1.1635118753343854</v>
      </c>
      <c r="G8" s="5" t="s">
        <v>8</v>
      </c>
      <c r="H8" s="4">
        <v>147659</v>
      </c>
      <c r="I8" s="4">
        <v>322869</v>
      </c>
      <c r="J8" s="4">
        <f t="shared" si="2"/>
        <v>175210</v>
      </c>
      <c r="K8" s="6">
        <f t="shared" si="3"/>
        <v>1.1865853080408237</v>
      </c>
      <c r="M8" s="5" t="s">
        <v>8</v>
      </c>
      <c r="N8" s="4">
        <v>147659</v>
      </c>
      <c r="O8" s="4">
        <v>230353</v>
      </c>
      <c r="P8" s="4">
        <f t="shared" si="4"/>
        <v>82694</v>
      </c>
      <c r="Q8" s="6">
        <f t="shared" si="5"/>
        <v>0.56003359090878313</v>
      </c>
      <c r="S8" s="5" t="s">
        <v>8</v>
      </c>
      <c r="T8" s="4">
        <v>147659</v>
      </c>
      <c r="U8" s="4">
        <v>179675</v>
      </c>
      <c r="V8" s="4">
        <f t="shared" si="6"/>
        <v>32016</v>
      </c>
      <c r="W8" s="6">
        <f t="shared" si="7"/>
        <v>0.21682389830623261</v>
      </c>
      <c r="AD8" t="s">
        <v>24</v>
      </c>
    </row>
    <row r="9" spans="1:30" x14ac:dyDescent="0.3">
      <c r="C9" s="1"/>
      <c r="G9" s="2"/>
      <c r="H9" s="2"/>
      <c r="I9" s="2"/>
      <c r="J9" s="2"/>
      <c r="K9" s="2"/>
    </row>
  </sheetData>
  <mergeCells count="4">
    <mergeCell ref="S1:W1"/>
    <mergeCell ref="A1:E1"/>
    <mergeCell ref="G1:K1"/>
    <mergeCell ref="M1:Q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40548-EDA9-4313-B24A-383844AAA08E}">
  <dimension ref="A1:W12"/>
  <sheetViews>
    <sheetView topLeftCell="B1" zoomScale="33" workbookViewId="0">
      <selection activeCell="S2" sqref="S2"/>
    </sheetView>
  </sheetViews>
  <sheetFormatPr defaultRowHeight="14.4" x14ac:dyDescent="0.3"/>
  <cols>
    <col min="1" max="1" width="15.5546875" bestFit="1" customWidth="1"/>
    <col min="3" max="3" width="11.21875" bestFit="1" customWidth="1"/>
    <col min="4" max="4" width="10.88671875" bestFit="1" customWidth="1"/>
    <col min="5" max="5" width="12.33203125" customWidth="1"/>
    <col min="7" max="7" width="15.5546875" bestFit="1" customWidth="1"/>
    <col min="9" max="9" width="11.21875" bestFit="1" customWidth="1"/>
    <col min="10" max="10" width="10.88671875" bestFit="1" customWidth="1"/>
    <col min="11" max="11" width="13.21875" customWidth="1"/>
    <col min="13" max="13" width="15.5546875" bestFit="1" customWidth="1"/>
    <col min="15" max="15" width="11.21875" bestFit="1" customWidth="1"/>
    <col min="16" max="16" width="10.88671875" bestFit="1" customWidth="1"/>
    <col min="17" max="17" width="11.77734375" bestFit="1" customWidth="1"/>
    <col min="18" max="18" width="8.77734375" customWidth="1"/>
    <col min="19" max="19" width="15.5546875" bestFit="1" customWidth="1"/>
    <col min="21" max="21" width="11.21875" bestFit="1" customWidth="1"/>
    <col min="22" max="22" width="10.88671875" bestFit="1" customWidth="1"/>
    <col min="23" max="23" width="11.77734375" bestFit="1" customWidth="1"/>
  </cols>
  <sheetData>
    <row r="1" spans="1:23" x14ac:dyDescent="0.3">
      <c r="A1" s="9" t="s">
        <v>0</v>
      </c>
      <c r="B1" s="9"/>
      <c r="C1" s="9"/>
      <c r="D1" s="9"/>
      <c r="E1" s="9"/>
      <c r="G1" s="9" t="s">
        <v>4</v>
      </c>
      <c r="H1" s="9"/>
      <c r="I1" s="9"/>
      <c r="J1" s="9"/>
      <c r="K1" s="9"/>
      <c r="M1" s="9" t="s">
        <v>25</v>
      </c>
      <c r="N1" s="9"/>
      <c r="O1" s="9"/>
      <c r="P1" s="9"/>
      <c r="Q1" s="9"/>
      <c r="S1" s="9" t="s">
        <v>26</v>
      </c>
      <c r="T1" s="9"/>
      <c r="U1" s="9"/>
      <c r="V1" s="9"/>
      <c r="W1" s="9"/>
    </row>
    <row r="2" spans="1:23" x14ac:dyDescent="0.3">
      <c r="A2" s="3" t="s">
        <v>23</v>
      </c>
      <c r="B2" s="3" t="s">
        <v>1</v>
      </c>
      <c r="C2" s="3" t="s">
        <v>2</v>
      </c>
      <c r="D2" s="3" t="s">
        <v>3</v>
      </c>
      <c r="E2" s="3" t="s">
        <v>22</v>
      </c>
      <c r="G2" s="3" t="s">
        <v>23</v>
      </c>
      <c r="H2" s="3" t="s">
        <v>1</v>
      </c>
      <c r="I2" s="3" t="s">
        <v>2</v>
      </c>
      <c r="J2" s="3" t="s">
        <v>3</v>
      </c>
      <c r="K2" s="3" t="s">
        <v>22</v>
      </c>
      <c r="M2" s="3" t="s">
        <v>23</v>
      </c>
      <c r="N2" s="3" t="s">
        <v>1</v>
      </c>
      <c r="O2" s="3" t="s">
        <v>2</v>
      </c>
      <c r="P2" s="3" t="s">
        <v>3</v>
      </c>
      <c r="Q2" s="3" t="s">
        <v>22</v>
      </c>
      <c r="S2" s="3" t="s">
        <v>23</v>
      </c>
      <c r="T2" s="3" t="s">
        <v>1</v>
      </c>
      <c r="U2" s="3" t="s">
        <v>2</v>
      </c>
      <c r="V2" s="3" t="s">
        <v>3</v>
      </c>
      <c r="W2" s="3" t="s">
        <v>22</v>
      </c>
    </row>
    <row r="3" spans="1:23" x14ac:dyDescent="0.3">
      <c r="A3" s="5" t="s">
        <v>12</v>
      </c>
      <c r="B3" s="4">
        <v>210805</v>
      </c>
      <c r="C3" s="4">
        <v>346478</v>
      </c>
      <c r="D3" s="4">
        <f t="shared" ref="D3:D6" si="0">+C3-B3</f>
        <v>135673</v>
      </c>
      <c r="E3" s="6">
        <f>+((C3-B3)/B3)</f>
        <v>0.64359479139489106</v>
      </c>
      <c r="G3" s="5" t="s">
        <v>12</v>
      </c>
      <c r="H3" s="4">
        <v>210805</v>
      </c>
      <c r="I3" s="4">
        <v>344864</v>
      </c>
      <c r="J3" s="4">
        <f t="shared" ref="J3:J6" si="1">+I3-H3</f>
        <v>134059</v>
      </c>
      <c r="K3" s="6">
        <f>+((I3-H3)/H3)</f>
        <v>0.6359384265079101</v>
      </c>
      <c r="M3" s="5" t="s">
        <v>12</v>
      </c>
      <c r="N3" s="4">
        <v>210805</v>
      </c>
      <c r="O3" s="4">
        <v>230382</v>
      </c>
      <c r="P3" s="4">
        <f t="shared" ref="P3:P6" si="2">+O3-N3</f>
        <v>19577</v>
      </c>
      <c r="Q3" s="6">
        <f>+((O3-N3)/N3)</f>
        <v>9.2867816228267827E-2</v>
      </c>
      <c r="S3" s="5" t="s">
        <v>12</v>
      </c>
      <c r="T3" s="4">
        <v>210805</v>
      </c>
      <c r="U3" s="4">
        <v>236241</v>
      </c>
      <c r="V3" s="4">
        <f t="shared" ref="V3:V6" si="3">+U3-T3</f>
        <v>25436</v>
      </c>
      <c r="W3" s="6">
        <f>+((U3-T3)/T3)</f>
        <v>0.12066127463769835</v>
      </c>
    </row>
    <row r="4" spans="1:23" x14ac:dyDescent="0.3">
      <c r="A4" s="5" t="s">
        <v>13</v>
      </c>
      <c r="B4" s="4">
        <v>229764</v>
      </c>
      <c r="C4" s="4">
        <v>344463</v>
      </c>
      <c r="D4" s="4">
        <f t="shared" si="0"/>
        <v>114699</v>
      </c>
      <c r="E4" s="6">
        <f t="shared" ref="E4:E12" si="4">+((C4-B4)/B4)</f>
        <v>0.49920353057920303</v>
      </c>
      <c r="G4" s="5" t="s">
        <v>13</v>
      </c>
      <c r="H4" s="4">
        <v>229764</v>
      </c>
      <c r="I4" s="4">
        <v>345168</v>
      </c>
      <c r="J4" s="4">
        <f t="shared" si="1"/>
        <v>115404</v>
      </c>
      <c r="K4" s="6">
        <f t="shared" ref="K4:K12" si="5">+((I4-H4)/H4)</f>
        <v>0.50227189638063408</v>
      </c>
      <c r="M4" s="5" t="s">
        <v>13</v>
      </c>
      <c r="N4" s="4">
        <v>229764</v>
      </c>
      <c r="O4" s="4">
        <v>236071</v>
      </c>
      <c r="P4" s="4">
        <f t="shared" si="2"/>
        <v>6307</v>
      </c>
      <c r="Q4" s="6">
        <f t="shared" ref="Q4:Q12" si="6">+((O4-N4)/N4)</f>
        <v>2.744990512003621E-2</v>
      </c>
      <c r="S4" s="5" t="s">
        <v>13</v>
      </c>
      <c r="T4" s="4">
        <v>229764</v>
      </c>
      <c r="U4" s="4">
        <v>248934</v>
      </c>
      <c r="V4" s="4">
        <f t="shared" si="3"/>
        <v>19170</v>
      </c>
      <c r="W4" s="6">
        <f t="shared" ref="W4:W12" si="7">+((U4-T4)/T4)</f>
        <v>8.3433436047422579E-2</v>
      </c>
    </row>
    <row r="5" spans="1:23" x14ac:dyDescent="0.3">
      <c r="A5" s="5" t="s">
        <v>14</v>
      </c>
      <c r="B5" s="4">
        <v>227446</v>
      </c>
      <c r="C5" s="4">
        <v>345661</v>
      </c>
      <c r="D5" s="4">
        <f t="shared" si="0"/>
        <v>118215</v>
      </c>
      <c r="E5" s="6">
        <f t="shared" si="4"/>
        <v>0.51974974279609221</v>
      </c>
      <c r="G5" s="5" t="s">
        <v>14</v>
      </c>
      <c r="H5" s="4">
        <v>227446</v>
      </c>
      <c r="I5" s="4">
        <v>345163</v>
      </c>
      <c r="J5" s="4">
        <f t="shared" si="1"/>
        <v>117717</v>
      </c>
      <c r="K5" s="6">
        <f t="shared" si="5"/>
        <v>0.51756021209429925</v>
      </c>
      <c r="M5" s="5" t="s">
        <v>14</v>
      </c>
      <c r="N5" s="4">
        <v>227446</v>
      </c>
      <c r="O5" s="4">
        <v>240261</v>
      </c>
      <c r="P5" s="4">
        <f t="shared" si="2"/>
        <v>12815</v>
      </c>
      <c r="Q5" s="6">
        <f t="shared" si="6"/>
        <v>5.6343044063206213E-2</v>
      </c>
      <c r="S5" s="5" t="s">
        <v>14</v>
      </c>
      <c r="T5" s="4">
        <v>227446</v>
      </c>
      <c r="U5" s="4">
        <v>247447</v>
      </c>
      <c r="V5" s="4">
        <f t="shared" si="3"/>
        <v>20001</v>
      </c>
      <c r="W5" s="6">
        <f t="shared" si="7"/>
        <v>8.7937356559359151E-2</v>
      </c>
    </row>
    <row r="6" spans="1:23" x14ac:dyDescent="0.3">
      <c r="A6" s="5" t="s">
        <v>15</v>
      </c>
      <c r="B6" s="4">
        <v>205961</v>
      </c>
      <c r="C6" s="4">
        <v>345842</v>
      </c>
      <c r="D6" s="4">
        <f t="shared" si="0"/>
        <v>139881</v>
      </c>
      <c r="E6" s="6">
        <f t="shared" si="4"/>
        <v>0.67916255990211738</v>
      </c>
      <c r="G6" s="5" t="s">
        <v>15</v>
      </c>
      <c r="H6" s="4">
        <v>205961</v>
      </c>
      <c r="I6" s="4">
        <v>345165</v>
      </c>
      <c r="J6" s="4">
        <f t="shared" si="1"/>
        <v>139204</v>
      </c>
      <c r="K6" s="6">
        <f t="shared" si="5"/>
        <v>0.675875529833318</v>
      </c>
      <c r="M6" s="5" t="s">
        <v>15</v>
      </c>
      <c r="N6" s="4">
        <v>205961</v>
      </c>
      <c r="O6" s="4">
        <v>244126</v>
      </c>
      <c r="P6" s="4">
        <f t="shared" si="2"/>
        <v>38165</v>
      </c>
      <c r="Q6" s="6">
        <f t="shared" si="6"/>
        <v>0.18530207175144808</v>
      </c>
      <c r="S6" s="5" t="s">
        <v>15</v>
      </c>
      <c r="T6" s="4">
        <v>205961</v>
      </c>
      <c r="U6" s="4">
        <v>267062</v>
      </c>
      <c r="V6" s="4">
        <f t="shared" si="3"/>
        <v>61101</v>
      </c>
      <c r="W6" s="6">
        <f t="shared" si="7"/>
        <v>0.29666296046338869</v>
      </c>
    </row>
    <row r="7" spans="1:23" x14ac:dyDescent="0.3">
      <c r="A7" s="5" t="s">
        <v>9</v>
      </c>
      <c r="B7" s="4">
        <v>299136</v>
      </c>
      <c r="C7" s="4">
        <v>345869</v>
      </c>
      <c r="D7" s="4">
        <f>+C7-B7</f>
        <v>46733</v>
      </c>
      <c r="E7" s="6">
        <f t="shared" si="4"/>
        <v>0.15622659927257168</v>
      </c>
      <c r="G7" s="5" t="s">
        <v>9</v>
      </c>
      <c r="H7" s="4">
        <v>299136</v>
      </c>
      <c r="I7" s="4">
        <v>345165</v>
      </c>
      <c r="J7" s="4">
        <f>+I7-H7</f>
        <v>46029</v>
      </c>
      <c r="K7" s="6">
        <f t="shared" si="5"/>
        <v>0.15387315468549423</v>
      </c>
      <c r="M7" s="5" t="s">
        <v>9</v>
      </c>
      <c r="N7" s="4">
        <v>299136</v>
      </c>
      <c r="O7" s="4">
        <v>248019</v>
      </c>
      <c r="P7" s="4">
        <f>+O7-N7</f>
        <v>-51117</v>
      </c>
      <c r="Q7" s="6">
        <f t="shared" si="6"/>
        <v>-0.1708821405648267</v>
      </c>
      <c r="S7" s="5" t="s">
        <v>9</v>
      </c>
      <c r="T7" s="4">
        <v>299136</v>
      </c>
      <c r="U7" s="4">
        <v>298586</v>
      </c>
      <c r="V7" s="4">
        <f>+U7-T7</f>
        <v>-550</v>
      </c>
      <c r="W7" s="6">
        <f t="shared" si="7"/>
        <v>-1.8386285836542577E-3</v>
      </c>
    </row>
    <row r="8" spans="1:23" x14ac:dyDescent="0.3">
      <c r="A8" s="5" t="s">
        <v>10</v>
      </c>
      <c r="B8" s="4">
        <v>390939</v>
      </c>
      <c r="C8" s="4">
        <v>345862</v>
      </c>
      <c r="D8" s="4">
        <f t="shared" ref="D8:D12" si="8">+C8-B8</f>
        <v>-45077</v>
      </c>
      <c r="E8" s="6">
        <f t="shared" si="4"/>
        <v>-0.11530443368402743</v>
      </c>
      <c r="G8" s="5" t="s">
        <v>10</v>
      </c>
      <c r="H8" s="4">
        <v>390939</v>
      </c>
      <c r="I8" s="4">
        <v>345165</v>
      </c>
      <c r="J8" s="4">
        <f t="shared" ref="J8:J12" si="9">+I8-H8</f>
        <v>-45774</v>
      </c>
      <c r="K8" s="6">
        <f t="shared" si="5"/>
        <v>-0.11708732052826656</v>
      </c>
      <c r="M8" s="5" t="s">
        <v>10</v>
      </c>
      <c r="N8" s="4">
        <v>390939</v>
      </c>
      <c r="O8" s="4">
        <v>252088</v>
      </c>
      <c r="P8" s="4">
        <f t="shared" ref="P8:P12" si="10">+O8-N8</f>
        <v>-138851</v>
      </c>
      <c r="Q8" s="6">
        <f>+((O8-N8)/N8)</f>
        <v>-0.35517305768930701</v>
      </c>
      <c r="S8" s="5" t="s">
        <v>10</v>
      </c>
      <c r="T8" s="4">
        <v>390939</v>
      </c>
      <c r="U8" s="4">
        <v>380000</v>
      </c>
      <c r="V8" s="4">
        <f t="shared" ref="V8:V12" si="11">+U8-T8</f>
        <v>-10939</v>
      </c>
      <c r="W8" s="6">
        <f t="shared" si="7"/>
        <v>-2.7981347473646785E-2</v>
      </c>
    </row>
    <row r="9" spans="1:23" x14ac:dyDescent="0.3">
      <c r="A9" s="5" t="s">
        <v>11</v>
      </c>
      <c r="B9" s="4">
        <v>367409</v>
      </c>
      <c r="C9" s="4">
        <v>345832</v>
      </c>
      <c r="D9" s="4">
        <f t="shared" si="8"/>
        <v>-21577</v>
      </c>
      <c r="E9" s="6">
        <f t="shared" si="4"/>
        <v>-5.8727467209567542E-2</v>
      </c>
      <c r="G9" s="5" t="s">
        <v>11</v>
      </c>
      <c r="H9" s="4">
        <v>367409</v>
      </c>
      <c r="I9" s="4">
        <v>345165</v>
      </c>
      <c r="J9" s="4">
        <f t="shared" si="9"/>
        <v>-22244</v>
      </c>
      <c r="K9" s="6">
        <f t="shared" si="5"/>
        <v>-6.0542882727423662E-2</v>
      </c>
      <c r="M9" s="5" t="s">
        <v>11</v>
      </c>
      <c r="N9" s="4">
        <v>367409</v>
      </c>
      <c r="O9" s="4">
        <v>256093</v>
      </c>
      <c r="P9" s="4">
        <f t="shared" si="10"/>
        <v>-111316</v>
      </c>
      <c r="Q9" s="6">
        <f t="shared" si="6"/>
        <v>-0.30297570282709457</v>
      </c>
      <c r="S9" s="5" t="s">
        <v>11</v>
      </c>
      <c r="T9" s="4">
        <v>367409</v>
      </c>
      <c r="U9" s="4">
        <v>365000</v>
      </c>
      <c r="V9" s="4">
        <f t="shared" si="11"/>
        <v>-2409</v>
      </c>
      <c r="W9" s="6">
        <f t="shared" si="7"/>
        <v>-6.5567256109676135E-3</v>
      </c>
    </row>
    <row r="10" spans="1:23" x14ac:dyDescent="0.3">
      <c r="A10" s="5" t="s">
        <v>6</v>
      </c>
      <c r="B10" s="4">
        <v>205028</v>
      </c>
      <c r="C10" s="4">
        <v>345812</v>
      </c>
      <c r="D10" s="4">
        <f t="shared" si="8"/>
        <v>140784</v>
      </c>
      <c r="E10" s="6">
        <f t="shared" si="4"/>
        <v>0.68665743215560804</v>
      </c>
      <c r="G10" s="5" t="s">
        <v>6</v>
      </c>
      <c r="H10" s="4">
        <v>205028</v>
      </c>
      <c r="I10" s="4">
        <v>345165</v>
      </c>
      <c r="J10" s="4">
        <f t="shared" si="9"/>
        <v>140137</v>
      </c>
      <c r="K10" s="6">
        <f t="shared" si="5"/>
        <v>0.68350176561250175</v>
      </c>
      <c r="M10" s="5" t="s">
        <v>6</v>
      </c>
      <c r="N10" s="4">
        <v>205028</v>
      </c>
      <c r="O10" s="4">
        <v>260157</v>
      </c>
      <c r="P10" s="4">
        <f t="shared" si="10"/>
        <v>55129</v>
      </c>
      <c r="Q10" s="6">
        <f t="shared" si="6"/>
        <v>0.26888522543262383</v>
      </c>
      <c r="S10" s="5" t="s">
        <v>6</v>
      </c>
      <c r="T10" s="4">
        <v>205028</v>
      </c>
      <c r="U10" s="4">
        <v>244015</v>
      </c>
      <c r="V10" s="4">
        <f t="shared" si="11"/>
        <v>38987</v>
      </c>
      <c r="W10" s="6">
        <f t="shared" si="7"/>
        <v>0.19015451548081239</v>
      </c>
    </row>
    <row r="11" spans="1:23" x14ac:dyDescent="0.3">
      <c r="A11" s="5" t="s">
        <v>7</v>
      </c>
      <c r="B11" s="4">
        <v>242561</v>
      </c>
      <c r="C11" s="4">
        <v>345791</v>
      </c>
      <c r="D11" s="4">
        <f t="shared" si="8"/>
        <v>103230</v>
      </c>
      <c r="E11" s="6">
        <f t="shared" si="4"/>
        <v>0.42558366761350752</v>
      </c>
      <c r="G11" s="5" t="s">
        <v>7</v>
      </c>
      <c r="H11" s="4">
        <v>242561</v>
      </c>
      <c r="I11" s="4">
        <v>345165</v>
      </c>
      <c r="J11" s="4">
        <f t="shared" si="9"/>
        <v>102604</v>
      </c>
      <c r="K11" s="6">
        <f t="shared" si="5"/>
        <v>0.42300287350398458</v>
      </c>
      <c r="M11" s="5" t="s">
        <v>7</v>
      </c>
      <c r="N11" s="4">
        <v>242561</v>
      </c>
      <c r="O11" s="4">
        <v>264479</v>
      </c>
      <c r="P11" s="4">
        <f t="shared" si="10"/>
        <v>21918</v>
      </c>
      <c r="Q11" s="6">
        <f t="shared" si="6"/>
        <v>9.0360775227674689E-2</v>
      </c>
      <c r="S11" s="5" t="s">
        <v>7</v>
      </c>
      <c r="T11" s="4">
        <v>242561</v>
      </c>
      <c r="U11" s="4">
        <v>262647</v>
      </c>
      <c r="V11" s="4">
        <f t="shared" si="11"/>
        <v>20086</v>
      </c>
      <c r="W11" s="6">
        <f t="shared" si="7"/>
        <v>8.2808035916738465E-2</v>
      </c>
    </row>
    <row r="12" spans="1:23" x14ac:dyDescent="0.3">
      <c r="A12" s="5" t="s">
        <v>8</v>
      </c>
      <c r="B12" s="4">
        <v>147659</v>
      </c>
      <c r="C12" s="4">
        <v>345779</v>
      </c>
      <c r="D12" s="4">
        <f t="shared" si="8"/>
        <v>198120</v>
      </c>
      <c r="E12" s="6">
        <f t="shared" si="4"/>
        <v>1.341740090343291</v>
      </c>
      <c r="G12" s="5" t="s">
        <v>8</v>
      </c>
      <c r="H12" s="4">
        <v>147659</v>
      </c>
      <c r="I12" s="4">
        <v>345165</v>
      </c>
      <c r="J12" s="4">
        <f t="shared" si="9"/>
        <v>197506</v>
      </c>
      <c r="K12" s="6">
        <f t="shared" si="5"/>
        <v>1.3375818609092571</v>
      </c>
      <c r="M12" s="5" t="s">
        <v>8</v>
      </c>
      <c r="N12" s="4">
        <v>147659</v>
      </c>
      <c r="O12" s="4">
        <v>269118</v>
      </c>
      <c r="P12" s="4">
        <f t="shared" si="10"/>
        <v>121459</v>
      </c>
      <c r="Q12" s="6">
        <f t="shared" si="6"/>
        <v>0.82256415118617898</v>
      </c>
      <c r="S12" s="5" t="s">
        <v>8</v>
      </c>
      <c r="T12" s="4">
        <v>147659</v>
      </c>
      <c r="U12" s="4">
        <v>195924</v>
      </c>
      <c r="V12" s="4">
        <f t="shared" si="11"/>
        <v>48265</v>
      </c>
      <c r="W12" s="6">
        <f t="shared" si="7"/>
        <v>0.32686798637401038</v>
      </c>
    </row>
  </sheetData>
  <mergeCells count="4">
    <mergeCell ref="S1:W1"/>
    <mergeCell ref="A1:E1"/>
    <mergeCell ref="G1:K1"/>
    <mergeCell ref="M1:Q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69A91-E04F-4C7C-95C1-9E4536333628}">
  <dimension ref="A1:W31"/>
  <sheetViews>
    <sheetView topLeftCell="M1" workbookViewId="0">
      <selection activeCell="AB32" sqref="AB32"/>
    </sheetView>
  </sheetViews>
  <sheetFormatPr defaultRowHeight="14.4" x14ac:dyDescent="0.3"/>
  <cols>
    <col min="1" max="1" width="15.5546875" bestFit="1" customWidth="1"/>
    <col min="2" max="2" width="10.44140625" bestFit="1" customWidth="1"/>
    <col min="3" max="3" width="11.21875" bestFit="1" customWidth="1"/>
    <col min="4" max="4" width="10.88671875" bestFit="1" customWidth="1"/>
    <col min="5" max="5" width="13.6640625" customWidth="1"/>
    <col min="7" max="7" width="15.5546875" bestFit="1" customWidth="1"/>
    <col min="9" max="9" width="11.21875" bestFit="1" customWidth="1"/>
    <col min="10" max="10" width="10.88671875" bestFit="1" customWidth="1"/>
    <col min="11" max="11" width="11.77734375" bestFit="1" customWidth="1"/>
    <col min="13" max="13" width="15.5546875" bestFit="1" customWidth="1"/>
    <col min="15" max="15" width="11.21875" bestFit="1" customWidth="1"/>
    <col min="16" max="16" width="10.88671875" bestFit="1" customWidth="1"/>
    <col min="17" max="17" width="11.77734375" bestFit="1" customWidth="1"/>
    <col min="19" max="19" width="15.5546875" bestFit="1" customWidth="1"/>
    <col min="21" max="21" width="11.21875" bestFit="1" customWidth="1"/>
    <col min="22" max="22" width="10.88671875" bestFit="1" customWidth="1"/>
    <col min="23" max="23" width="11.77734375" bestFit="1" customWidth="1"/>
  </cols>
  <sheetData>
    <row r="1" spans="1:23" x14ac:dyDescent="0.3">
      <c r="A1" s="11" t="s">
        <v>0</v>
      </c>
      <c r="B1" s="12"/>
      <c r="C1" s="12"/>
      <c r="D1" s="12"/>
      <c r="E1" s="13"/>
      <c r="F1" s="2"/>
      <c r="G1" s="7" t="s">
        <v>4</v>
      </c>
      <c r="H1" s="8"/>
      <c r="I1" s="8"/>
      <c r="J1" s="8"/>
      <c r="K1" s="8"/>
      <c r="M1" s="9" t="s">
        <v>25</v>
      </c>
      <c r="N1" s="9"/>
      <c r="O1" s="9"/>
      <c r="P1" s="9"/>
      <c r="Q1" s="9"/>
      <c r="S1" s="9" t="s">
        <v>26</v>
      </c>
      <c r="T1" s="9"/>
      <c r="U1" s="9"/>
      <c r="V1" s="9"/>
      <c r="W1" s="9"/>
    </row>
    <row r="2" spans="1:23" x14ac:dyDescent="0.3">
      <c r="A2" s="3" t="s">
        <v>23</v>
      </c>
      <c r="B2" s="3" t="s">
        <v>1</v>
      </c>
      <c r="C2" s="3" t="s">
        <v>2</v>
      </c>
      <c r="D2" s="3" t="s">
        <v>3</v>
      </c>
      <c r="E2" s="3" t="s">
        <v>22</v>
      </c>
      <c r="F2" s="2"/>
      <c r="G2" s="3" t="s">
        <v>23</v>
      </c>
      <c r="H2" s="3" t="s">
        <v>1</v>
      </c>
      <c r="I2" s="3" t="s">
        <v>2</v>
      </c>
      <c r="J2" s="3" t="s">
        <v>3</v>
      </c>
      <c r="K2" s="3" t="s">
        <v>22</v>
      </c>
      <c r="M2" s="3" t="s">
        <v>23</v>
      </c>
      <c r="N2" s="3" t="s">
        <v>1</v>
      </c>
      <c r="O2" s="3" t="s">
        <v>2</v>
      </c>
      <c r="P2" s="3" t="s">
        <v>3</v>
      </c>
      <c r="Q2" s="3" t="s">
        <v>22</v>
      </c>
      <c r="S2" s="3" t="s">
        <v>23</v>
      </c>
      <c r="T2" s="3" t="s">
        <v>1</v>
      </c>
      <c r="U2" s="3" t="s">
        <v>2</v>
      </c>
      <c r="V2" s="3" t="s">
        <v>3</v>
      </c>
      <c r="W2" s="3" t="s">
        <v>22</v>
      </c>
    </row>
    <row r="3" spans="1:23" x14ac:dyDescent="0.3">
      <c r="A3" s="5" t="s">
        <v>16</v>
      </c>
      <c r="B3" s="4">
        <v>242769</v>
      </c>
      <c r="C3" s="4">
        <v>519576</v>
      </c>
      <c r="D3" s="4">
        <f t="shared" ref="D3:D7" si="0">+C3-B3</f>
        <v>276807</v>
      </c>
      <c r="E3" s="6">
        <f>+((C3-B3)/B3)</f>
        <v>1.1402073576115566</v>
      </c>
      <c r="F3" s="2"/>
      <c r="G3" s="5" t="s">
        <v>16</v>
      </c>
      <c r="H3" s="4">
        <v>242769</v>
      </c>
      <c r="I3" s="4">
        <v>500109</v>
      </c>
      <c r="J3" s="4">
        <f t="shared" ref="J3:J7" si="1">+I3-H3</f>
        <v>257340</v>
      </c>
      <c r="K3" s="6">
        <f>+((I3-H3)/H3)</f>
        <v>1.0600200190304363</v>
      </c>
      <c r="M3" s="5" t="s">
        <v>16</v>
      </c>
      <c r="N3" s="4">
        <v>242769</v>
      </c>
      <c r="O3" s="4">
        <v>515868</v>
      </c>
      <c r="P3" s="4">
        <f t="shared" ref="P3:P11" si="2">+O3-N3</f>
        <v>273099</v>
      </c>
      <c r="Q3" s="6">
        <f>+((O3-N3)/N3)</f>
        <v>1.1249335788342003</v>
      </c>
      <c r="S3" s="5" t="s">
        <v>16</v>
      </c>
      <c r="T3" s="4">
        <v>242769</v>
      </c>
      <c r="U3" s="4">
        <v>1095496</v>
      </c>
      <c r="V3" s="4">
        <f t="shared" ref="V3:V11" si="3">+U3-T3</f>
        <v>852727</v>
      </c>
      <c r="W3" s="6">
        <f>+((U3-T3)/T3)</f>
        <v>3.5125036557385827</v>
      </c>
    </row>
    <row r="4" spans="1:23" x14ac:dyDescent="0.3">
      <c r="A4" s="5" t="s">
        <v>17</v>
      </c>
      <c r="B4" s="4">
        <v>237192</v>
      </c>
      <c r="C4" s="4">
        <v>489945</v>
      </c>
      <c r="D4" s="4">
        <f t="shared" si="0"/>
        <v>252753</v>
      </c>
      <c r="E4" s="6">
        <f t="shared" ref="E4:E17" si="4">+((C4-B4)/B4)</f>
        <v>1.065605079429323</v>
      </c>
      <c r="F4" s="2"/>
      <c r="G4" s="5" t="s">
        <v>17</v>
      </c>
      <c r="H4" s="4">
        <v>237192</v>
      </c>
      <c r="I4" s="4">
        <v>500336</v>
      </c>
      <c r="J4" s="4">
        <f t="shared" si="1"/>
        <v>263144</v>
      </c>
      <c r="K4" s="6">
        <f t="shared" ref="K4:K17" si="5">+((I4-H4)/H4)</f>
        <v>1.1094134709433707</v>
      </c>
      <c r="M4" s="5" t="s">
        <v>17</v>
      </c>
      <c r="N4" s="4">
        <v>237192</v>
      </c>
      <c r="O4" s="4">
        <v>484878</v>
      </c>
      <c r="P4" s="4">
        <f t="shared" si="2"/>
        <v>247686</v>
      </c>
      <c r="Q4" s="6">
        <f t="shared" ref="Q4:Q17" si="6">+((O4-N4)/N4)</f>
        <v>1.0442426388748356</v>
      </c>
      <c r="S4" s="5" t="s">
        <v>17</v>
      </c>
      <c r="T4" s="4">
        <v>237192</v>
      </c>
      <c r="U4" s="4">
        <v>1082956</v>
      </c>
      <c r="V4" s="4">
        <f t="shared" si="3"/>
        <v>845764</v>
      </c>
      <c r="W4" s="6">
        <f t="shared" ref="W4:W17" si="7">+((U4-T4)/T4)</f>
        <v>3.5657357752369387</v>
      </c>
    </row>
    <row r="5" spans="1:23" x14ac:dyDescent="0.3">
      <c r="A5" s="5" t="s">
        <v>18</v>
      </c>
      <c r="B5" s="4">
        <v>234459</v>
      </c>
      <c r="C5" s="4">
        <v>495972</v>
      </c>
      <c r="D5" s="4">
        <f t="shared" si="0"/>
        <v>261513</v>
      </c>
      <c r="E5" s="6">
        <f t="shared" si="4"/>
        <v>1.1153890445664274</v>
      </c>
      <c r="F5" s="2"/>
      <c r="G5" s="5" t="s">
        <v>18</v>
      </c>
      <c r="H5" s="4">
        <v>234459</v>
      </c>
      <c r="I5" s="4">
        <v>465027</v>
      </c>
      <c r="J5" s="4">
        <f t="shared" si="1"/>
        <v>230568</v>
      </c>
      <c r="K5" s="6">
        <f t="shared" si="5"/>
        <v>0.98340434788171915</v>
      </c>
      <c r="M5" s="5" t="s">
        <v>18</v>
      </c>
      <c r="N5" s="4">
        <v>234459</v>
      </c>
      <c r="O5" s="4">
        <v>489953</v>
      </c>
      <c r="P5" s="4">
        <f t="shared" si="2"/>
        <v>255494</v>
      </c>
      <c r="Q5" s="6">
        <f t="shared" si="6"/>
        <v>1.0897171786964885</v>
      </c>
      <c r="S5" s="5" t="s">
        <v>18</v>
      </c>
      <c r="T5" s="4">
        <v>234459</v>
      </c>
      <c r="U5" s="4">
        <v>727146</v>
      </c>
      <c r="V5" s="4">
        <f t="shared" si="3"/>
        <v>492687</v>
      </c>
      <c r="W5" s="6">
        <f t="shared" si="7"/>
        <v>2.1013780661011094</v>
      </c>
    </row>
    <row r="6" spans="1:23" x14ac:dyDescent="0.3">
      <c r="A6" s="5" t="s">
        <v>19</v>
      </c>
      <c r="B6" s="4">
        <v>240719</v>
      </c>
      <c r="C6" s="4">
        <v>496034</v>
      </c>
      <c r="D6" s="4">
        <f t="shared" si="0"/>
        <v>255315</v>
      </c>
      <c r="E6" s="6">
        <f t="shared" si="4"/>
        <v>1.0606350142697503</v>
      </c>
      <c r="F6" s="2"/>
      <c r="G6" s="5" t="s">
        <v>19</v>
      </c>
      <c r="H6" s="4">
        <v>240719</v>
      </c>
      <c r="I6" s="4">
        <v>496751</v>
      </c>
      <c r="J6" s="4">
        <f t="shared" si="1"/>
        <v>256032</v>
      </c>
      <c r="K6" s="6">
        <f t="shared" si="5"/>
        <v>1.0636135909504443</v>
      </c>
      <c r="M6" s="5" t="s">
        <v>19</v>
      </c>
      <c r="N6" s="4">
        <v>240719</v>
      </c>
      <c r="O6" s="4">
        <v>489632</v>
      </c>
      <c r="P6" s="4">
        <f t="shared" si="2"/>
        <v>248913</v>
      </c>
      <c r="Q6" s="6">
        <f t="shared" si="6"/>
        <v>1.0340396894304147</v>
      </c>
      <c r="S6" s="5" t="s">
        <v>19</v>
      </c>
      <c r="T6" s="4">
        <v>240719</v>
      </c>
      <c r="U6" s="4">
        <v>732752</v>
      </c>
      <c r="V6" s="4">
        <f t="shared" si="3"/>
        <v>492033</v>
      </c>
      <c r="W6" s="6">
        <f t="shared" si="7"/>
        <v>2.0440139748004937</v>
      </c>
    </row>
    <row r="7" spans="1:23" x14ac:dyDescent="0.3">
      <c r="A7" s="5" t="s">
        <v>20</v>
      </c>
      <c r="B7" s="4">
        <v>224809</v>
      </c>
      <c r="C7" s="4">
        <v>496465</v>
      </c>
      <c r="D7" s="4">
        <f t="shared" si="0"/>
        <v>271656</v>
      </c>
      <c r="E7" s="6">
        <f t="shared" si="4"/>
        <v>1.208385785266604</v>
      </c>
      <c r="F7" s="2"/>
      <c r="G7" s="5" t="s">
        <v>20</v>
      </c>
      <c r="H7" s="4">
        <v>224809</v>
      </c>
      <c r="I7" s="4">
        <v>478868</v>
      </c>
      <c r="J7" s="4">
        <f t="shared" si="1"/>
        <v>254059</v>
      </c>
      <c r="K7" s="6">
        <f t="shared" si="5"/>
        <v>1.1301104493147516</v>
      </c>
      <c r="M7" s="5" t="s">
        <v>20</v>
      </c>
      <c r="N7" s="4">
        <v>224809</v>
      </c>
      <c r="O7" s="4">
        <v>489801</v>
      </c>
      <c r="P7" s="4">
        <f t="shared" si="2"/>
        <v>264992</v>
      </c>
      <c r="Q7" s="6">
        <f t="shared" si="6"/>
        <v>1.1787428439252876</v>
      </c>
      <c r="S7" s="5" t="s">
        <v>20</v>
      </c>
      <c r="T7" s="4">
        <v>224809</v>
      </c>
      <c r="U7" s="4">
        <v>899500</v>
      </c>
      <c r="V7" s="4">
        <f t="shared" si="3"/>
        <v>674691</v>
      </c>
      <c r="W7" s="6">
        <f t="shared" si="7"/>
        <v>3.0011743302091998</v>
      </c>
    </row>
    <row r="8" spans="1:23" x14ac:dyDescent="0.3">
      <c r="A8" s="5" t="s">
        <v>12</v>
      </c>
      <c r="B8" s="4">
        <v>210805</v>
      </c>
      <c r="C8" s="4">
        <v>496511</v>
      </c>
      <c r="D8" s="4">
        <f t="shared" ref="D8:D11" si="8">+C8-B8</f>
        <v>285706</v>
      </c>
      <c r="E8" s="6">
        <f t="shared" si="4"/>
        <v>1.3553094091696116</v>
      </c>
      <c r="F8" s="2"/>
      <c r="G8" s="5" t="s">
        <v>12</v>
      </c>
      <c r="H8" s="4">
        <v>210805</v>
      </c>
      <c r="I8" s="4">
        <v>478390</v>
      </c>
      <c r="J8" s="4">
        <f t="shared" ref="J8:J11" si="9">+I8-H8</f>
        <v>267585</v>
      </c>
      <c r="K8" s="6">
        <f t="shared" si="5"/>
        <v>1.2693484499893266</v>
      </c>
      <c r="M8" s="5" t="s">
        <v>12</v>
      </c>
      <c r="N8" s="4">
        <v>210805</v>
      </c>
      <c r="O8" s="4">
        <v>489798</v>
      </c>
      <c r="P8" s="4">
        <f t="shared" si="2"/>
        <v>278993</v>
      </c>
      <c r="Q8" s="6">
        <f t="shared" si="6"/>
        <v>1.3234648134531914</v>
      </c>
      <c r="S8" s="5" t="s">
        <v>12</v>
      </c>
      <c r="T8" s="4">
        <v>210805</v>
      </c>
      <c r="U8" s="4">
        <v>885817</v>
      </c>
      <c r="V8" s="4">
        <f t="shared" si="3"/>
        <v>675012</v>
      </c>
      <c r="W8" s="6">
        <f t="shared" si="7"/>
        <v>3.202068262137995</v>
      </c>
    </row>
    <row r="9" spans="1:23" x14ac:dyDescent="0.3">
      <c r="A9" s="5" t="s">
        <v>13</v>
      </c>
      <c r="B9" s="4">
        <v>229764</v>
      </c>
      <c r="C9" s="4">
        <v>496607</v>
      </c>
      <c r="D9" s="4">
        <f t="shared" si="8"/>
        <v>266843</v>
      </c>
      <c r="E9" s="6">
        <f t="shared" si="4"/>
        <v>1.1613786319876047</v>
      </c>
      <c r="F9" s="2"/>
      <c r="G9" s="5" t="s">
        <v>13</v>
      </c>
      <c r="H9" s="4">
        <v>229764</v>
      </c>
      <c r="I9" s="4">
        <v>474864</v>
      </c>
      <c r="J9" s="4">
        <f t="shared" si="9"/>
        <v>245100</v>
      </c>
      <c r="K9" s="6">
        <f t="shared" si="5"/>
        <v>1.0667467488379381</v>
      </c>
      <c r="M9" s="5" t="s">
        <v>13</v>
      </c>
      <c r="N9" s="4">
        <v>229764</v>
      </c>
      <c r="O9" s="4">
        <v>489817</v>
      </c>
      <c r="P9" s="4">
        <f t="shared" si="2"/>
        <v>260053</v>
      </c>
      <c r="Q9" s="6">
        <f t="shared" si="6"/>
        <v>1.1318265698716945</v>
      </c>
      <c r="S9" s="5" t="s">
        <v>13</v>
      </c>
      <c r="T9" s="4">
        <v>229764</v>
      </c>
      <c r="U9" s="4">
        <v>814566</v>
      </c>
      <c r="V9" s="4">
        <f t="shared" si="3"/>
        <v>584802</v>
      </c>
      <c r="W9" s="6">
        <f t="shared" si="7"/>
        <v>2.5452290176006684</v>
      </c>
    </row>
    <row r="10" spans="1:23" x14ac:dyDescent="0.3">
      <c r="A10" s="5" t="s">
        <v>14</v>
      </c>
      <c r="B10" s="4">
        <v>227446</v>
      </c>
      <c r="C10" s="4">
        <v>496588</v>
      </c>
      <c r="D10" s="4">
        <f t="shared" si="8"/>
        <v>269142</v>
      </c>
      <c r="E10" s="6">
        <f t="shared" si="4"/>
        <v>1.1833226348232109</v>
      </c>
      <c r="F10" s="2"/>
      <c r="G10" s="5" t="s">
        <v>14</v>
      </c>
      <c r="H10" s="4">
        <v>227446</v>
      </c>
      <c r="I10" s="4">
        <v>489383</v>
      </c>
      <c r="J10" s="4">
        <f t="shared" si="9"/>
        <v>261937</v>
      </c>
      <c r="K10" s="6">
        <f t="shared" si="5"/>
        <v>1.151644786015142</v>
      </c>
      <c r="M10" s="5" t="s">
        <v>14</v>
      </c>
      <c r="N10" s="4">
        <v>227446</v>
      </c>
      <c r="O10" s="4">
        <v>489811</v>
      </c>
      <c r="P10" s="4">
        <f t="shared" si="2"/>
        <v>262365</v>
      </c>
      <c r="Q10" s="6">
        <f t="shared" si="6"/>
        <v>1.1535265513572452</v>
      </c>
      <c r="S10" s="5" t="s">
        <v>14</v>
      </c>
      <c r="T10" s="4">
        <v>227446</v>
      </c>
      <c r="U10" s="4">
        <v>827486</v>
      </c>
      <c r="V10" s="4">
        <f t="shared" si="3"/>
        <v>600040</v>
      </c>
      <c r="W10" s="6">
        <f t="shared" si="7"/>
        <v>2.6381646632607301</v>
      </c>
    </row>
    <row r="11" spans="1:23" x14ac:dyDescent="0.3">
      <c r="A11" s="5" t="s">
        <v>15</v>
      </c>
      <c r="B11" s="4">
        <v>205961</v>
      </c>
      <c r="C11" s="4">
        <v>496626</v>
      </c>
      <c r="D11" s="4">
        <f t="shared" si="8"/>
        <v>290665</v>
      </c>
      <c r="E11" s="6">
        <f t="shared" si="4"/>
        <v>1.4112623263627579</v>
      </c>
      <c r="F11" s="2"/>
      <c r="G11" s="5" t="s">
        <v>15</v>
      </c>
      <c r="H11" s="4">
        <v>205961</v>
      </c>
      <c r="I11" s="4">
        <v>484770</v>
      </c>
      <c r="J11" s="4">
        <f t="shared" si="9"/>
        <v>278809</v>
      </c>
      <c r="K11" s="6">
        <f t="shared" si="5"/>
        <v>1.3536980302096029</v>
      </c>
      <c r="M11" s="5" t="s">
        <v>15</v>
      </c>
      <c r="N11" s="4">
        <v>205961</v>
      </c>
      <c r="O11" s="4">
        <v>489817</v>
      </c>
      <c r="P11" s="4">
        <f t="shared" si="2"/>
        <v>283856</v>
      </c>
      <c r="Q11" s="6">
        <f t="shared" si="6"/>
        <v>1.3782026694374179</v>
      </c>
      <c r="S11" s="5" t="s">
        <v>15</v>
      </c>
      <c r="T11" s="4">
        <v>205961</v>
      </c>
      <c r="U11" s="4">
        <v>860570</v>
      </c>
      <c r="V11" s="4">
        <f t="shared" si="3"/>
        <v>654609</v>
      </c>
      <c r="W11" s="6">
        <f t="shared" si="7"/>
        <v>3.1783153121221979</v>
      </c>
    </row>
    <row r="12" spans="1:23" x14ac:dyDescent="0.3">
      <c r="A12" s="5" t="s">
        <v>9</v>
      </c>
      <c r="B12" s="4">
        <v>299136</v>
      </c>
      <c r="C12" s="4">
        <v>496604</v>
      </c>
      <c r="D12" s="4">
        <f>+C12-B12</f>
        <v>197468</v>
      </c>
      <c r="E12" s="6">
        <f t="shared" si="4"/>
        <v>0.66012783483097992</v>
      </c>
      <c r="F12" s="2"/>
      <c r="G12" s="5" t="s">
        <v>9</v>
      </c>
      <c r="H12" s="4">
        <v>299136</v>
      </c>
      <c r="I12" s="4">
        <v>476894</v>
      </c>
      <c r="J12" s="4">
        <f>+I12-H12</f>
        <v>177758</v>
      </c>
      <c r="K12" s="6">
        <f t="shared" si="5"/>
        <v>0.59423807231493364</v>
      </c>
      <c r="M12" s="5" t="s">
        <v>9</v>
      </c>
      <c r="N12" s="4">
        <v>299136</v>
      </c>
      <c r="O12" s="4">
        <v>489814</v>
      </c>
      <c r="P12" s="4">
        <f>+O12-N12</f>
        <v>190678</v>
      </c>
      <c r="Q12" s="6">
        <f t="shared" si="6"/>
        <v>0.63742912922550277</v>
      </c>
      <c r="S12" s="5" t="s">
        <v>9</v>
      </c>
      <c r="T12" s="4">
        <v>299136</v>
      </c>
      <c r="U12" s="4">
        <v>848359</v>
      </c>
      <c r="V12" s="4">
        <f>+U12-T12</f>
        <v>549223</v>
      </c>
      <c r="W12" s="6">
        <f t="shared" si="7"/>
        <v>1.8360311029097134</v>
      </c>
    </row>
    <row r="13" spans="1:23" x14ac:dyDescent="0.3">
      <c r="A13" s="5" t="s">
        <v>10</v>
      </c>
      <c r="B13" s="4">
        <v>390939</v>
      </c>
      <c r="C13" s="4">
        <v>496626</v>
      </c>
      <c r="D13" s="4">
        <f t="shared" ref="D13:D17" si="10">+C13-B13</f>
        <v>105687</v>
      </c>
      <c r="E13" s="6">
        <f t="shared" si="4"/>
        <v>0.27034140876198076</v>
      </c>
      <c r="F13" s="2"/>
      <c r="G13" s="5" t="s">
        <v>10</v>
      </c>
      <c r="H13" s="4">
        <v>390939</v>
      </c>
      <c r="I13" s="4">
        <v>483946</v>
      </c>
      <c r="J13" s="4">
        <f t="shared" ref="J13:J17" si="11">+I13-H13</f>
        <v>93007</v>
      </c>
      <c r="K13" s="6">
        <f t="shared" si="5"/>
        <v>0.23790668109346982</v>
      </c>
      <c r="M13" s="5" t="s">
        <v>10</v>
      </c>
      <c r="N13" s="4">
        <v>390939</v>
      </c>
      <c r="O13" s="4">
        <v>489817</v>
      </c>
      <c r="P13" s="4">
        <f t="shared" ref="P13:P17" si="12">+O13-N13</f>
        <v>98878</v>
      </c>
      <c r="Q13" s="6">
        <f t="shared" si="6"/>
        <v>0.252924369275002</v>
      </c>
      <c r="S13" s="5" t="s">
        <v>10</v>
      </c>
      <c r="T13" s="4">
        <v>390939</v>
      </c>
      <c r="U13" s="4">
        <v>837520</v>
      </c>
      <c r="V13" s="4">
        <f t="shared" ref="V13:V17" si="13">+U13-T13</f>
        <v>446581</v>
      </c>
      <c r="W13" s="6">
        <f t="shared" si="7"/>
        <v>1.1423291101680826</v>
      </c>
    </row>
    <row r="14" spans="1:23" x14ac:dyDescent="0.3">
      <c r="A14" s="5" t="s">
        <v>11</v>
      </c>
      <c r="B14" s="4">
        <v>367409</v>
      </c>
      <c r="C14" s="4">
        <v>496609</v>
      </c>
      <c r="D14" s="4">
        <f t="shared" si="10"/>
        <v>129200</v>
      </c>
      <c r="E14" s="6">
        <f t="shared" si="4"/>
        <v>0.35165170150976161</v>
      </c>
      <c r="F14" s="2"/>
      <c r="G14" s="5" t="s">
        <v>11</v>
      </c>
      <c r="H14" s="4">
        <v>367409</v>
      </c>
      <c r="I14" s="4">
        <v>486003</v>
      </c>
      <c r="J14" s="4">
        <f t="shared" si="11"/>
        <v>118594</v>
      </c>
      <c r="K14" s="6">
        <f t="shared" si="5"/>
        <v>0.32278468954217232</v>
      </c>
      <c r="M14" s="5" t="s">
        <v>11</v>
      </c>
      <c r="N14" s="4">
        <v>367409</v>
      </c>
      <c r="O14" s="4">
        <v>489815</v>
      </c>
      <c r="P14" s="4">
        <f t="shared" si="12"/>
        <v>122406</v>
      </c>
      <c r="Q14" s="6">
        <f t="shared" si="6"/>
        <v>0.33316004779414765</v>
      </c>
      <c r="S14" s="5" t="s">
        <v>11</v>
      </c>
      <c r="T14" s="4">
        <v>367409</v>
      </c>
      <c r="U14" s="4">
        <v>847763</v>
      </c>
      <c r="V14" s="4">
        <f t="shared" si="13"/>
        <v>480354</v>
      </c>
      <c r="W14" s="6">
        <f t="shared" si="7"/>
        <v>1.3074094537695049</v>
      </c>
    </row>
    <row r="15" spans="1:23" x14ac:dyDescent="0.3">
      <c r="A15" s="5" t="s">
        <v>6</v>
      </c>
      <c r="B15" s="4">
        <v>205028</v>
      </c>
      <c r="C15" s="4">
        <v>496625</v>
      </c>
      <c r="D15" s="4">
        <f t="shared" si="10"/>
        <v>291597</v>
      </c>
      <c r="E15" s="6">
        <f t="shared" si="4"/>
        <v>1.4222301344206645</v>
      </c>
      <c r="F15" s="2"/>
      <c r="G15" s="5" t="s">
        <v>6</v>
      </c>
      <c r="H15" s="4">
        <v>205028</v>
      </c>
      <c r="I15" s="4">
        <v>480084</v>
      </c>
      <c r="J15" s="4">
        <f t="shared" si="11"/>
        <v>275056</v>
      </c>
      <c r="K15" s="6">
        <f t="shared" si="5"/>
        <v>1.3415533488108942</v>
      </c>
      <c r="M15" s="5" t="s">
        <v>6</v>
      </c>
      <c r="N15" s="4">
        <v>205028</v>
      </c>
      <c r="O15" s="4">
        <v>489816</v>
      </c>
      <c r="P15" s="4">
        <f t="shared" si="12"/>
        <v>284788</v>
      </c>
      <c r="Q15" s="6">
        <f t="shared" si="6"/>
        <v>1.3890200362877265</v>
      </c>
      <c r="S15" s="5" t="s">
        <v>6</v>
      </c>
      <c r="T15" s="4">
        <v>205028</v>
      </c>
      <c r="U15" s="4">
        <v>848258</v>
      </c>
      <c r="V15" s="4">
        <f t="shared" si="13"/>
        <v>643230</v>
      </c>
      <c r="W15" s="6">
        <f t="shared" si="7"/>
        <v>3.1372788106990264</v>
      </c>
    </row>
    <row r="16" spans="1:23" x14ac:dyDescent="0.3">
      <c r="A16" s="5" t="s">
        <v>7</v>
      </c>
      <c r="B16" s="4">
        <v>242561</v>
      </c>
      <c r="C16" s="4">
        <v>446612</v>
      </c>
      <c r="D16" s="4">
        <f t="shared" si="10"/>
        <v>204051</v>
      </c>
      <c r="E16" s="6">
        <f t="shared" si="4"/>
        <v>0.8412358128470776</v>
      </c>
      <c r="F16" s="2"/>
      <c r="G16" s="5" t="s">
        <v>7</v>
      </c>
      <c r="H16" s="4">
        <v>242561</v>
      </c>
      <c r="I16" s="4">
        <v>481532</v>
      </c>
      <c r="J16" s="4">
        <f t="shared" si="11"/>
        <v>238971</v>
      </c>
      <c r="K16" s="6">
        <f t="shared" si="5"/>
        <v>0.98519959927605838</v>
      </c>
      <c r="M16" s="5" t="s">
        <v>7</v>
      </c>
      <c r="N16" s="4">
        <v>242561</v>
      </c>
      <c r="O16" s="4">
        <v>489815</v>
      </c>
      <c r="P16" s="4">
        <f t="shared" si="12"/>
        <v>247254</v>
      </c>
      <c r="Q16" s="6">
        <f t="shared" si="6"/>
        <v>1.0193477104728295</v>
      </c>
      <c r="S16" s="5" t="s">
        <v>7</v>
      </c>
      <c r="T16" s="4">
        <v>242561</v>
      </c>
      <c r="U16" s="4">
        <v>842327</v>
      </c>
      <c r="V16" s="4">
        <f t="shared" si="13"/>
        <v>599766</v>
      </c>
      <c r="W16" s="6">
        <f t="shared" si="7"/>
        <v>2.47263987203219</v>
      </c>
    </row>
    <row r="17" spans="1:23" x14ac:dyDescent="0.3">
      <c r="A17" s="5" t="s">
        <v>8</v>
      </c>
      <c r="B17" s="4">
        <v>147659</v>
      </c>
      <c r="C17" s="4">
        <v>496623</v>
      </c>
      <c r="D17" s="4">
        <f t="shared" si="10"/>
        <v>348964</v>
      </c>
      <c r="E17" s="6">
        <f t="shared" si="4"/>
        <v>2.3633100589872611</v>
      </c>
      <c r="F17" s="2"/>
      <c r="G17" s="5" t="s">
        <v>8</v>
      </c>
      <c r="H17" s="4">
        <v>147659</v>
      </c>
      <c r="I17" s="4">
        <v>489594</v>
      </c>
      <c r="J17" s="4">
        <f t="shared" si="11"/>
        <v>341935</v>
      </c>
      <c r="K17" s="6">
        <f t="shared" si="5"/>
        <v>2.3157071360364081</v>
      </c>
      <c r="M17" s="5" t="s">
        <v>8</v>
      </c>
      <c r="N17" s="4">
        <v>147659</v>
      </c>
      <c r="O17" s="4">
        <v>489816</v>
      </c>
      <c r="P17" s="4">
        <f t="shared" si="12"/>
        <v>342157</v>
      </c>
      <c r="Q17" s="6">
        <f t="shared" si="6"/>
        <v>2.3172106000988766</v>
      </c>
      <c r="S17" s="5" t="s">
        <v>8</v>
      </c>
      <c r="T17" s="4">
        <v>147659</v>
      </c>
      <c r="U17" s="4">
        <v>846094</v>
      </c>
      <c r="V17" s="4">
        <f t="shared" si="13"/>
        <v>698435</v>
      </c>
      <c r="W17" s="6">
        <f t="shared" si="7"/>
        <v>4.7300537048198894</v>
      </c>
    </row>
    <row r="31" spans="1:23" x14ac:dyDescent="0.3">
      <c r="C31" s="2"/>
    </row>
  </sheetData>
  <mergeCells count="4">
    <mergeCell ref="M1:Q1"/>
    <mergeCell ref="S1:W1"/>
    <mergeCell ref="G1:K1"/>
    <mergeCell ref="A1:E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3 MESES </vt:lpstr>
      <vt:lpstr>6 MESES</vt:lpstr>
      <vt:lpstr>10 MESES</vt:lpstr>
      <vt:lpstr>MAS DE 12 MESES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Liseth Juliana Pabón</dc:creator>
  <cp:lastModifiedBy>Liseth Juliana Pabón</cp:lastModifiedBy>
  <dcterms:created xsi:type="dcterms:W3CDTF">2026-02-17T23:53:31Z</dcterms:created>
  <dcterms:modified xsi:type="dcterms:W3CDTF">2026-03-03T05:16:03Z</dcterms:modified>
</cp:coreProperties>
</file>